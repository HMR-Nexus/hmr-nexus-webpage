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Portada" sheetId="1" state="visible" r:id="rId1"/>
    <sheet name="1. Auditoría Ingresos" sheetId="2" state="visible" r:id="rId2"/>
    <sheet name="2. Auditoría Gastos" sheetId="3" state="visible" r:id="rId3"/>
    <sheet name="3. Flujo Caja Diario" sheetId="4" state="visible" r:id="rId4"/>
    <sheet name="4. Posición Corregida" sheetId="5" state="visible" r:id="rId5"/>
    <sheet name="5. KPIs y Ratios" sheetId="6" state="visible" r:id="rId6"/>
    <sheet name="6. Consejos y Recomend." sheetId="7" state="visible" r:id="rId7"/>
    <sheet name="7. Proyecciones Q2" sheetId="8" state="visible" r:id="rId8"/>
    <sheet name="8. Resumen Ejecutivo"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name val="Calibri"/>
      <b val="1"/>
      <color rgb="00FFFFFF"/>
      <sz val="22"/>
    </font>
    <font>
      <name val="Calibri"/>
      <b val="1"/>
      <color rgb="00FFFFFF"/>
      <sz val="16"/>
    </font>
    <font>
      <name val="Calibri"/>
      <i val="1"/>
      <color rgb="00000000"/>
      <sz val="11"/>
    </font>
    <font>
      <name val="Calibri"/>
      <b val="1"/>
      <color rgb="00FFFFFF"/>
      <sz val="10"/>
    </font>
    <font>
      <name val="Calibri"/>
      <color rgb="00000000"/>
      <sz val="10"/>
    </font>
    <font>
      <name val="Calibri"/>
      <b val="1"/>
      <color rgb="00FFFFFF"/>
      <sz val="11"/>
    </font>
    <font>
      <name val="Calibri"/>
      <i val="1"/>
      <color rgb="00000000"/>
      <sz val="9"/>
    </font>
    <font>
      <name val="Calibri"/>
      <b val="1"/>
      <color rgb="00FFFFFF"/>
      <sz val="12"/>
    </font>
    <font>
      <name val="Calibri"/>
      <i val="1"/>
      <color rgb="00595959"/>
      <sz val="9"/>
    </font>
    <font>
      <name val="Calibri"/>
      <b val="1"/>
      <color rgb="00000000"/>
      <sz val="10"/>
    </font>
    <font>
      <name val="Calibri"/>
      <b val="1"/>
      <sz val="10"/>
    </font>
    <font>
      <name val="Calibri"/>
      <sz val="10"/>
    </font>
    <font>
      <name val="Calibri"/>
      <i val="1"/>
      <color rgb="00595959"/>
      <sz val="10"/>
    </font>
    <font>
      <name val="Calibri"/>
      <i val="1"/>
      <color rgb="009C0006"/>
      <sz val="10"/>
    </font>
    <font>
      <name val="Calibri"/>
      <b val="1"/>
      <color rgb="009C0006"/>
      <sz val="10"/>
    </font>
    <font>
      <name val="Calibri"/>
      <color rgb="009C0006"/>
      <sz val="10"/>
    </font>
    <font>
      <name val="Calibri"/>
      <color rgb="00375623"/>
      <sz val="10"/>
    </font>
    <font>
      <name val="Calibri"/>
      <b val="1"/>
      <color rgb="009C0006"/>
      <sz val="11"/>
    </font>
    <font>
      <name val="Calibri"/>
      <b val="1"/>
      <color rgb="00375623"/>
      <sz val="10"/>
    </font>
    <font>
      <name val="Calibri"/>
      <b val="1"/>
      <color rgb="007F6000"/>
      <sz val="10"/>
    </font>
    <font>
      <name val="Calibri"/>
      <b val="1"/>
      <color rgb="00FFFFFF"/>
      <sz val="9"/>
    </font>
    <font>
      <name val="Calibri"/>
      <b val="1"/>
      <color rgb="00806000"/>
      <sz val="10"/>
    </font>
    <font>
      <name val="Calibri"/>
      <i val="1"/>
      <color rgb="00000000"/>
      <sz val="10"/>
    </font>
    <font>
      <name val="Calibri"/>
      <b val="1"/>
      <color rgb="009C0006"/>
      <sz val="14"/>
    </font>
    <font>
      <name val="Calibri"/>
      <b val="1"/>
      <color rgb="00375623"/>
      <sz val="14"/>
    </font>
    <font>
      <name val="Calibri"/>
      <b val="1"/>
      <color rgb="007F6000"/>
      <sz val="14"/>
    </font>
  </fonts>
  <fills count="16">
    <fill>
      <patternFill/>
    </fill>
    <fill>
      <patternFill patternType="gray125"/>
    </fill>
    <fill>
      <patternFill patternType="solid">
        <fgColor rgb="001F3864"/>
      </patternFill>
    </fill>
    <fill>
      <patternFill patternType="solid">
        <fgColor rgb="002E75B6"/>
      </patternFill>
    </fill>
    <fill>
      <patternFill patternType="solid">
        <fgColor rgb="00DEEAF1"/>
      </patternFill>
    </fill>
    <fill>
      <patternFill patternType="solid">
        <fgColor rgb="009C0006"/>
      </patternFill>
    </fill>
    <fill>
      <patternFill patternType="solid">
        <fgColor rgb="00FFEB9C"/>
      </patternFill>
    </fill>
    <fill>
      <patternFill patternType="solid">
        <fgColor rgb="00404040"/>
      </patternFill>
    </fill>
    <fill>
      <patternFill patternType="solid">
        <fgColor rgb="00FFC7CE"/>
      </patternFill>
    </fill>
    <fill>
      <patternFill patternType="solid">
        <fgColor rgb="00FCE4D6"/>
      </patternFill>
    </fill>
    <fill>
      <patternFill patternType="solid">
        <fgColor rgb="00E2EFDA"/>
      </patternFill>
    </fill>
    <fill>
      <patternFill patternType="solid">
        <fgColor rgb="00375623"/>
      </patternFill>
    </fill>
    <fill>
      <patternFill patternType="solid">
        <fgColor rgb="007F6000"/>
      </patternFill>
    </fill>
    <fill>
      <patternFill patternType="solid">
        <fgColor rgb="00806000"/>
      </patternFill>
    </fill>
    <fill>
      <patternFill patternType="solid">
        <fgColor rgb="00BDD7EE"/>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2" borderId="0" applyAlignment="1" pivotButton="0" quotePrefix="0" xfId="0">
      <alignment horizontal="right" vertical="center"/>
    </xf>
    <xf numFmtId="0" fontId="5" fillId="4" borderId="1" applyAlignment="1" pivotButton="0" quotePrefix="0" xfId="0">
      <alignment horizontal="left" vertical="center"/>
    </xf>
    <xf numFmtId="0" fontId="6" fillId="5" borderId="1" applyAlignment="1" pivotButton="0" quotePrefix="0" xfId="0">
      <alignment horizontal="center" vertical="center"/>
    </xf>
    <xf numFmtId="0" fontId="5" fillId="6" borderId="1" applyAlignment="1" pivotButton="0" quotePrefix="0" xfId="0">
      <alignment horizontal="left" vertical="top" wrapText="1"/>
    </xf>
    <xf numFmtId="0" fontId="7" fillId="7" borderId="1" applyAlignment="1" pivotButton="0" quotePrefix="0" xfId="0">
      <alignment horizontal="center" vertical="center"/>
    </xf>
    <xf numFmtId="0" fontId="8" fillId="2" borderId="0" applyAlignment="1" pivotButton="0" quotePrefix="0" xfId="0">
      <alignment horizontal="center" vertical="center"/>
    </xf>
    <xf numFmtId="0" fontId="9" fillId="4" borderId="0" applyAlignment="1" pivotButton="0" quotePrefix="0" xfId="0">
      <alignment horizontal="center" vertical="center"/>
    </xf>
    <xf numFmtId="0" fontId="4" fillId="3" borderId="1" applyAlignment="1" pivotButton="0" quotePrefix="0" xfId="0">
      <alignment horizontal="center" vertical="center"/>
    </xf>
    <xf numFmtId="0" fontId="10" fillId="4" borderId="1" applyAlignment="1" pivotButton="0" quotePrefix="0" xfId="0">
      <alignment horizontal="left" vertical="center"/>
    </xf>
    <xf numFmtId="40" fontId="10" fillId="4" borderId="1" applyAlignment="1" pivotButton="0" quotePrefix="0" xfId="0">
      <alignment horizontal="right" vertical="center"/>
    </xf>
    <xf numFmtId="164" fontId="10" fillId="4" borderId="1" applyAlignment="1" pivotButton="0" quotePrefix="0" xfId="0">
      <alignment horizontal="center" vertical="center"/>
    </xf>
    <xf numFmtId="0" fontId="5" fillId="0" borderId="1" applyAlignment="1" pivotButton="0" quotePrefix="0" xfId="0">
      <alignment horizontal="left" vertical="center"/>
    </xf>
    <xf numFmtId="40" fontId="5" fillId="0" borderId="1" applyAlignment="1" pivotButton="0" quotePrefix="0" xfId="0">
      <alignment horizontal="right" vertical="center"/>
    </xf>
    <xf numFmtId="164" fontId="5" fillId="0" borderId="1" applyAlignment="1" pivotButton="0" quotePrefix="0" xfId="0">
      <alignment horizontal="center" vertical="center"/>
    </xf>
    <xf numFmtId="0" fontId="4" fillId="2" borderId="0" applyAlignment="1" pivotButton="0" quotePrefix="0" xfId="0">
      <alignment horizontal="center" vertical="center"/>
    </xf>
    <xf numFmtId="0" fontId="4" fillId="7" borderId="1" applyAlignment="1" pivotButton="0" quotePrefix="0" xfId="0">
      <alignment horizontal="center" vertical="center"/>
    </xf>
    <xf numFmtId="0" fontId="11" fillId="4" borderId="1" applyAlignment="1" pivotButton="0" quotePrefix="0" xfId="0">
      <alignment horizontal="left" vertical="center"/>
    </xf>
    <xf numFmtId="0" fontId="12" fillId="4" borderId="1" applyAlignment="1" pivotButton="0" quotePrefix="0" xfId="0">
      <alignment horizontal="left" vertical="center"/>
    </xf>
    <xf numFmtId="0" fontId="13" fillId="4" borderId="1" applyAlignment="1" pivotButton="0" quotePrefix="0" xfId="0">
      <alignment horizontal="left" vertical="center"/>
    </xf>
    <xf numFmtId="0" fontId="14" fillId="8" borderId="1" applyAlignment="1" pivotButton="0" quotePrefix="0" xfId="0">
      <alignment horizontal="left" vertical="center" wrapText="1"/>
    </xf>
    <xf numFmtId="0" fontId="12" fillId="8" borderId="1" applyAlignment="1" pivotButton="0" quotePrefix="0" xfId="0">
      <alignment horizontal="left" vertical="center"/>
    </xf>
    <xf numFmtId="40" fontId="12" fillId="8" borderId="1" applyAlignment="1" pivotButton="0" quotePrefix="0" xfId="0">
      <alignment horizontal="right" vertical="center"/>
    </xf>
    <xf numFmtId="164" fontId="12" fillId="8" borderId="1" applyAlignment="1" pivotButton="0" quotePrefix="0" xfId="0">
      <alignment horizontal="center" vertical="center"/>
    </xf>
    <xf numFmtId="0" fontId="12" fillId="6" borderId="1" applyAlignment="1" pivotButton="0" quotePrefix="0" xfId="0">
      <alignment horizontal="left" vertical="center"/>
    </xf>
    <xf numFmtId="40" fontId="12" fillId="6" borderId="1" applyAlignment="1" pivotButton="0" quotePrefix="0" xfId="0">
      <alignment horizontal="right" vertical="center"/>
    </xf>
    <xf numFmtId="164" fontId="12" fillId="6" borderId="1" applyAlignment="1" pivotButton="0" quotePrefix="0" xfId="0">
      <alignment horizontal="center" vertical="center"/>
    </xf>
    <xf numFmtId="0" fontId="12" fillId="9" borderId="1" applyAlignment="1" pivotButton="0" quotePrefix="0" xfId="0">
      <alignment horizontal="left" vertical="center"/>
    </xf>
    <xf numFmtId="40" fontId="12" fillId="9" borderId="1" applyAlignment="1" pivotButton="0" quotePrefix="0" xfId="0">
      <alignment horizontal="right" vertical="center"/>
    </xf>
    <xf numFmtId="164" fontId="12" fillId="9" borderId="1" applyAlignment="1" pivotButton="0" quotePrefix="0" xfId="0">
      <alignment horizontal="center" vertical="center"/>
    </xf>
    <xf numFmtId="40" fontId="12" fillId="4" borderId="1" applyAlignment="1" pivotButton="0" quotePrefix="0" xfId="0">
      <alignment horizontal="right" vertical="center"/>
    </xf>
    <xf numFmtId="164" fontId="12" fillId="4" borderId="1" applyAlignment="1" pivotButton="0" quotePrefix="0" xfId="0">
      <alignment horizontal="center" vertical="center"/>
    </xf>
    <xf numFmtId="0" fontId="4" fillId="2" borderId="1" applyAlignment="1" pivotButton="0" quotePrefix="0" xfId="0">
      <alignment horizontal="left" vertical="center"/>
    </xf>
    <xf numFmtId="40" fontId="4" fillId="2" borderId="1" applyAlignment="1" pivotButton="0" quotePrefix="0" xfId="0">
      <alignment horizontal="right" vertical="center"/>
    </xf>
    <xf numFmtId="164" fontId="4" fillId="2" borderId="1" applyAlignment="1" pivotButton="0" quotePrefix="0" xfId="0">
      <alignment horizontal="center" vertical="center"/>
    </xf>
    <xf numFmtId="0" fontId="4" fillId="5" borderId="0" applyAlignment="1" pivotButton="0" quotePrefix="0" xfId="0">
      <alignment horizontal="center" vertical="center"/>
    </xf>
    <xf numFmtId="0" fontId="15" fillId="6" borderId="1" applyAlignment="1" pivotButton="0" quotePrefix="0" xfId="0">
      <alignment horizontal="left" vertical="center"/>
    </xf>
    <xf numFmtId="0" fontId="5" fillId="4" borderId="1" applyAlignment="1" pivotButton="0" quotePrefix="0" xfId="0">
      <alignment horizontal="left" vertical="center" wrapText="1"/>
    </xf>
    <xf numFmtId="0" fontId="12" fillId="10" borderId="1" applyAlignment="1" pivotButton="0" quotePrefix="0" xfId="0">
      <alignment horizontal="center" vertical="center"/>
    </xf>
    <xf numFmtId="40" fontId="12" fillId="10" borderId="1" applyAlignment="1" pivotButton="0" quotePrefix="0" xfId="0">
      <alignment horizontal="right" vertical="center"/>
    </xf>
    <xf numFmtId="0" fontId="12" fillId="10" borderId="1" applyAlignment="1" pivotButton="0" quotePrefix="0" xfId="0">
      <alignment horizontal="left" vertical="center"/>
    </xf>
    <xf numFmtId="0" fontId="12" fillId="6" borderId="1" applyAlignment="1" pivotButton="0" quotePrefix="0" xfId="0">
      <alignment horizontal="center" vertical="center"/>
    </xf>
    <xf numFmtId="0" fontId="11" fillId="8" borderId="1" applyAlignment="1" pivotButton="0" quotePrefix="0" xfId="0">
      <alignment horizontal="center" vertical="center"/>
    </xf>
    <xf numFmtId="40" fontId="11" fillId="8" borderId="1" applyAlignment="1" pivotButton="0" quotePrefix="0" xfId="0">
      <alignment horizontal="right" vertical="center"/>
    </xf>
    <xf numFmtId="0" fontId="15" fillId="8" borderId="1" applyAlignment="1" pivotButton="0" quotePrefix="0" xfId="0">
      <alignment horizontal="left" vertical="center"/>
    </xf>
    <xf numFmtId="0" fontId="4" fillId="2" borderId="1" applyAlignment="1" pivotButton="0" quotePrefix="0" xfId="0">
      <alignment horizontal="center" vertical="center"/>
    </xf>
    <xf numFmtId="0" fontId="15" fillId="8" borderId="1" applyAlignment="1" pivotButton="0" quotePrefix="0" xfId="0">
      <alignment horizontal="center" vertical="center"/>
    </xf>
    <xf numFmtId="40" fontId="15" fillId="8" borderId="1" applyAlignment="1" pivotButton="0" quotePrefix="0" xfId="0">
      <alignment horizontal="right" vertical="center"/>
    </xf>
    <xf numFmtId="0" fontId="6" fillId="2" borderId="0" applyAlignment="1" pivotButton="0" quotePrefix="0" xfId="0">
      <alignment horizontal="left" vertical="center"/>
    </xf>
    <xf numFmtId="40" fontId="16" fillId="4" borderId="1" applyAlignment="1" pivotButton="0" quotePrefix="0" xfId="0">
      <alignment horizontal="right" vertical="center"/>
    </xf>
    <xf numFmtId="40" fontId="5" fillId="4" borderId="1" applyAlignment="1" pivotButton="0" quotePrefix="0" xfId="0">
      <alignment horizontal="right" vertical="center"/>
    </xf>
    <xf numFmtId="0" fontId="11" fillId="8" borderId="1" applyAlignment="1" pivotButton="0" quotePrefix="0" xfId="0">
      <alignment horizontal="left" vertical="center"/>
    </xf>
    <xf numFmtId="0" fontId="14" fillId="8" borderId="1" applyAlignment="1" pivotButton="0" quotePrefix="0" xfId="0">
      <alignment horizontal="left" vertical="center"/>
    </xf>
    <xf numFmtId="0" fontId="11" fillId="6" borderId="1" applyAlignment="1" pivotButton="0" quotePrefix="0" xfId="0">
      <alignment horizontal="left" vertical="center"/>
    </xf>
    <xf numFmtId="0" fontId="0" fillId="6" borderId="1" applyAlignment="1" pivotButton="0" quotePrefix="0" xfId="0">
      <alignment horizontal="left" vertical="center"/>
    </xf>
    <xf numFmtId="40" fontId="15" fillId="6" borderId="1" applyAlignment="1" pivotButton="0" quotePrefix="0" xfId="0">
      <alignment horizontal="right" vertical="center"/>
    </xf>
    <xf numFmtId="0" fontId="14" fillId="6" borderId="1" applyAlignment="1" pivotButton="0" quotePrefix="0" xfId="0">
      <alignment horizontal="left" vertical="center"/>
    </xf>
    <xf numFmtId="0" fontId="0" fillId="4" borderId="1" applyAlignment="1" pivotButton="0" quotePrefix="0" xfId="0">
      <alignment horizontal="left" vertical="center"/>
    </xf>
    <xf numFmtId="0" fontId="4" fillId="2" borderId="1" pivotButton="0" quotePrefix="0" xfId="0"/>
    <xf numFmtId="0" fontId="0" fillId="2" borderId="1" pivotButton="0" quotePrefix="0" xfId="0"/>
    <xf numFmtId="0" fontId="13" fillId="4" borderId="1" pivotButton="0" quotePrefix="0" xfId="0"/>
    <xf numFmtId="0" fontId="0" fillId="4" borderId="1" pivotButton="0" quotePrefix="0" xfId="0"/>
    <xf numFmtId="40" fontId="13" fillId="4" borderId="1" applyAlignment="1" pivotButton="0" quotePrefix="0" xfId="0">
      <alignment horizontal="right" vertical="center"/>
    </xf>
    <xf numFmtId="0" fontId="0" fillId="10" borderId="1" applyAlignment="1" pivotButton="0" quotePrefix="0" xfId="0">
      <alignment horizontal="left" vertical="center"/>
    </xf>
    <xf numFmtId="40" fontId="17" fillId="10" borderId="1" applyAlignment="1" pivotButton="0" quotePrefix="0" xfId="0">
      <alignment horizontal="right" vertical="center"/>
    </xf>
    <xf numFmtId="0" fontId="13" fillId="10" borderId="1" applyAlignment="1" pivotButton="0" quotePrefix="0" xfId="0">
      <alignment horizontal="left" vertical="center"/>
    </xf>
    <xf numFmtId="0" fontId="4" fillId="11" borderId="1" pivotButton="0" quotePrefix="0" xfId="0"/>
    <xf numFmtId="0" fontId="0" fillId="11" borderId="1" pivotButton="0" quotePrefix="0" xfId="0"/>
    <xf numFmtId="40" fontId="4" fillId="11" borderId="1" applyAlignment="1" pivotButton="0" quotePrefix="0" xfId="0">
      <alignment horizontal="right" vertical="center"/>
    </xf>
    <xf numFmtId="0" fontId="16" fillId="8" borderId="1" pivotButton="0" quotePrefix="0" xfId="0"/>
    <xf numFmtId="40" fontId="16" fillId="8" borderId="1" applyAlignment="1" pivotButton="0" quotePrefix="0" xfId="0">
      <alignment horizontal="right" vertical="center"/>
    </xf>
    <xf numFmtId="0" fontId="0" fillId="8" borderId="1" pivotButton="0" quotePrefix="0" xfId="0"/>
    <xf numFmtId="0" fontId="5" fillId="10" borderId="1" pivotButton="0" quotePrefix="0" xfId="0"/>
    <xf numFmtId="0" fontId="0" fillId="10" borderId="1" pivotButton="0" quotePrefix="0" xfId="0"/>
    <xf numFmtId="0" fontId="10" fillId="6" borderId="1" pivotButton="0" quotePrefix="0" xfId="0"/>
    <xf numFmtId="40" fontId="18" fillId="6" borderId="1" applyAlignment="1" pivotButton="0" quotePrefix="0" xfId="0">
      <alignment horizontal="right" vertical="center"/>
    </xf>
    <xf numFmtId="0" fontId="0" fillId="6" borderId="1" pivotButton="0" quotePrefix="0" xfId="0"/>
    <xf numFmtId="0" fontId="15" fillId="8" borderId="1" applyAlignment="1" pivotButton="0" quotePrefix="0" xfId="0">
      <alignment horizontal="left" vertical="center" wrapText="1"/>
    </xf>
    <xf numFmtId="0" fontId="13" fillId="8" borderId="1" applyAlignment="1" pivotButton="0" quotePrefix="0" xfId="0">
      <alignment horizontal="left" vertical="center"/>
    </xf>
    <xf numFmtId="0" fontId="11" fillId="10" borderId="1" applyAlignment="1" pivotButton="0" quotePrefix="0" xfId="0">
      <alignment horizontal="left" vertical="center"/>
    </xf>
    <xf numFmtId="0" fontId="19" fillId="10" borderId="1" applyAlignment="1" pivotButton="0" quotePrefix="0" xfId="0">
      <alignment horizontal="left" vertical="center"/>
    </xf>
    <xf numFmtId="0" fontId="20" fillId="6" borderId="1" applyAlignment="1" pivotButton="0" quotePrefix="0" xfId="0">
      <alignment horizontal="left" vertical="center"/>
    </xf>
    <xf numFmtId="0" fontId="13" fillId="6" borderId="1" applyAlignment="1" pivotButton="0" quotePrefix="0" xfId="0">
      <alignment horizontal="left" vertical="center"/>
    </xf>
    <xf numFmtId="0" fontId="21" fillId="5" borderId="1" applyAlignment="1" pivotButton="0" quotePrefix="0" xfId="0">
      <alignment horizontal="center" vertical="center"/>
    </xf>
    <xf numFmtId="0" fontId="12" fillId="8" borderId="1" applyAlignment="1" pivotButton="0" quotePrefix="0" xfId="0">
      <alignment horizontal="left" vertical="center" wrapText="1"/>
    </xf>
    <xf numFmtId="0" fontId="21" fillId="12" borderId="1" applyAlignment="1" pivotButton="0" quotePrefix="0" xfId="0">
      <alignment horizontal="center" vertical="center"/>
    </xf>
    <xf numFmtId="0" fontId="12" fillId="6" borderId="1" applyAlignment="1" pivotButton="0" quotePrefix="0" xfId="0">
      <alignment horizontal="left" vertical="center" wrapText="1"/>
    </xf>
    <xf numFmtId="0" fontId="20" fillId="6" borderId="1" applyAlignment="1" pivotButton="0" quotePrefix="0" xfId="0">
      <alignment horizontal="center" vertical="center"/>
    </xf>
    <xf numFmtId="0" fontId="21" fillId="13" borderId="1" applyAlignment="1" pivotButton="0" quotePrefix="0" xfId="0">
      <alignment horizontal="center" vertical="center"/>
    </xf>
    <xf numFmtId="0" fontId="22" fillId="9" borderId="1" applyAlignment="1" pivotButton="0" quotePrefix="0" xfId="0">
      <alignment horizontal="left" vertical="center"/>
    </xf>
    <xf numFmtId="0" fontId="12" fillId="9" borderId="1" applyAlignment="1" pivotButton="0" quotePrefix="0" xfId="0">
      <alignment horizontal="left" vertical="center" wrapText="1"/>
    </xf>
    <xf numFmtId="0" fontId="22" fillId="9" borderId="1" applyAlignment="1" pivotButton="0" quotePrefix="0" xfId="0">
      <alignment horizontal="center" vertical="center"/>
    </xf>
    <xf numFmtId="0" fontId="21" fillId="11" borderId="1" applyAlignment="1" pivotButton="0" quotePrefix="0" xfId="0">
      <alignment horizontal="center" vertical="center"/>
    </xf>
    <xf numFmtId="0" fontId="12" fillId="10" borderId="1" applyAlignment="1" pivotButton="0" quotePrefix="0" xfId="0">
      <alignment horizontal="left" vertical="center" wrapText="1"/>
    </xf>
    <xf numFmtId="0" fontId="19" fillId="10" borderId="1" applyAlignment="1" pivotButton="0" quotePrefix="0" xfId="0">
      <alignment horizontal="center" vertical="center"/>
    </xf>
    <xf numFmtId="0" fontId="7" fillId="6" borderId="1" applyAlignment="1" pivotButton="0" quotePrefix="0" xfId="0">
      <alignment horizontal="left" vertical="center" wrapText="1"/>
    </xf>
    <xf numFmtId="38" fontId="0" fillId="10" borderId="1" applyAlignment="1" pivotButton="0" quotePrefix="0" xfId="0">
      <alignment horizontal="right" vertical="center"/>
    </xf>
    <xf numFmtId="164" fontId="0" fillId="10" borderId="1" applyAlignment="1" pivotButton="0" quotePrefix="0" xfId="0">
      <alignment horizontal="center" vertical="center"/>
    </xf>
    <xf numFmtId="0" fontId="4" fillId="15" borderId="1" applyAlignment="1" pivotButton="0" quotePrefix="0" xfId="0">
      <alignment horizontal="center" vertical="center"/>
    </xf>
    <xf numFmtId="38" fontId="0" fillId="8" borderId="1" applyAlignment="1" pivotButton="0" quotePrefix="0" xfId="0">
      <alignment horizontal="right" vertical="center"/>
    </xf>
    <xf numFmtId="164" fontId="0" fillId="8" borderId="1" applyAlignment="1" pivotButton="0" quotePrefix="0" xfId="0">
      <alignment horizontal="center" vertical="center"/>
    </xf>
    <xf numFmtId="0" fontId="4" fillId="12" borderId="1" applyAlignment="1" pivotButton="0" quotePrefix="0" xfId="0">
      <alignment horizontal="center" vertical="center"/>
    </xf>
    <xf numFmtId="0" fontId="4" fillId="5" borderId="1" applyAlignment="1" pivotButton="0" quotePrefix="0" xfId="0">
      <alignment horizontal="center" vertical="center"/>
    </xf>
    <xf numFmtId="0" fontId="23" fillId="4" borderId="1" applyAlignment="1" pivotButton="0" quotePrefix="0" xfId="0">
      <alignment horizontal="left" vertical="top" wrapText="1"/>
    </xf>
    <xf numFmtId="0" fontId="24" fillId="8" borderId="1" applyAlignment="1" pivotButton="0" quotePrefix="0" xfId="0">
      <alignment horizontal="center" vertical="center"/>
    </xf>
    <xf numFmtId="0" fontId="0" fillId="8" borderId="1" applyAlignment="1" pivotButton="0" quotePrefix="0" xfId="0">
      <alignment horizontal="left" vertical="center"/>
    </xf>
    <xf numFmtId="0" fontId="25" fillId="10" borderId="1" applyAlignment="1" pivotButton="0" quotePrefix="0" xfId="0">
      <alignment horizontal="center" vertical="center"/>
    </xf>
    <xf numFmtId="0" fontId="26" fillId="6" borderId="1" applyAlignment="1" pivotButton="0" quotePrefix="0" xfId="0">
      <alignment horizontal="center" vertical="center"/>
    </xf>
    <xf numFmtId="0" fontId="6" fillId="2" borderId="0" applyAlignment="1" pivotButton="0" quotePrefix="0" xfId="0">
      <alignment horizontal="center" vertical="center"/>
    </xf>
    <xf numFmtId="0" fontId="4" fillId="11" borderId="1" applyAlignment="1" pivotButton="0" quotePrefix="0" xfId="0">
      <alignment horizontal="left" vertical="center"/>
    </xf>
    <xf numFmtId="0" fontId="4" fillId="5" borderId="1" applyAlignment="1" pivotButton="0" quotePrefix="0" xfId="0">
      <alignment horizontal="left" vertical="center"/>
    </xf>
    <xf numFmtId="0" fontId="4" fillId="12" borderId="1" applyAlignment="1" pivotButton="0" quotePrefix="0" xfId="0">
      <alignment horizontal="left" vertical="center"/>
    </xf>
    <xf numFmtId="0" fontId="18"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8"/>
  <sheetViews>
    <sheetView showGridLines="0" workbookViewId="0">
      <selection activeCell="A1" sqref="A1"/>
    </sheetView>
  </sheetViews>
  <sheetFormatPr baseColWidth="8" defaultRowHeight="15"/>
  <cols>
    <col width="3" customWidth="1" min="1" max="1"/>
    <col width="28" customWidth="1" min="2" max="2"/>
    <col width="35" customWidth="1" min="3" max="3"/>
    <col width="28" customWidth="1" min="4" max="4"/>
    <col width="3" customWidth="1" min="5" max="5"/>
  </cols>
  <sheetData>
    <row r="1" ht="18" customHeight="1">
      <c r="B1" s="1" t="inlineStr">
        <is>
          <t>🔍  UMTELKOMD GmbH</t>
        </is>
      </c>
    </row>
    <row r="2" ht="18" customHeight="1"/>
    <row r="3" ht="18" customHeight="1"/>
    <row r="4" ht="18" customHeight="1"/>
    <row r="5" ht="18" customHeight="1"/>
    <row r="6" ht="18" customHeight="1">
      <c r="B6" s="2" t="inlineStr">
        <is>
          <t>INFORME DE AUDITORÍA FINANCIERA</t>
        </is>
      </c>
    </row>
    <row r="7" ht="18" customHeight="1"/>
    <row r="8" ht="18" customHeight="1"/>
    <row r="9" ht="28" customHeight="1">
      <c r="B9" s="3" t="inlineStr">
        <is>
          <t>Período: Enero — Marzo 2026  |  Generado: 01.04.2026</t>
        </is>
      </c>
    </row>
    <row r="10" ht="18" customHeight="1"/>
    <row r="11" ht="20" customHeight="1">
      <c r="B11" s="4" t="inlineStr">
        <is>
          <t>EMPRESA</t>
        </is>
      </c>
      <c r="C11" s="5" t="inlineStr">
        <is>
          <t>UMTELKOMD GmbH</t>
        </is>
      </c>
    </row>
    <row r="12" ht="20" customHeight="1">
      <c r="B12" s="4" t="inlineStr">
        <is>
          <t>PERÍODO</t>
        </is>
      </c>
      <c r="C12" s="5" t="inlineStr">
        <is>
          <t>01.01.2026 — 31.03.2026 (Q1 2026)</t>
        </is>
      </c>
    </row>
    <row r="13" ht="20" customHeight="1">
      <c r="B13" s="4" t="inlineStr">
        <is>
          <t>OBJETO</t>
        </is>
      </c>
      <c r="C13" s="5" t="inlineStr">
        <is>
          <t>Auditoría, Hallazgos, Consejos y Proyecciones</t>
        </is>
      </c>
    </row>
    <row r="14" ht="20" customHeight="1">
      <c r="B14" s="4" t="inlineStr">
        <is>
          <t>ESTADO CUENTA</t>
        </is>
      </c>
      <c r="C14" s="5" t="inlineStr">
        <is>
          <t>En descubierto — Saldo negativo desde dic-2025</t>
        </is>
      </c>
    </row>
    <row r="15" ht="20" customHeight="1">
      <c r="B15" s="4" t="inlineStr">
        <is>
          <t>TOTAL INGRESOS</t>
        </is>
      </c>
      <c r="C15" s="5" t="inlineStr">
        <is>
          <t>€ 310.448,40</t>
        </is>
      </c>
    </row>
    <row r="16" ht="20" customHeight="1">
      <c r="B16" s="4" t="inlineStr">
        <is>
          <t>TOTAL GASTOS</t>
        </is>
      </c>
      <c r="C16" s="5" t="inlineStr">
        <is>
          <t>€ 309.575,56</t>
        </is>
      </c>
    </row>
    <row r="17" ht="20" customHeight="1">
      <c r="B17" s="4" t="inlineStr">
        <is>
          <t>RESULTADO NETO</t>
        </is>
      </c>
      <c r="C17" s="5" t="inlineStr">
        <is>
          <t>€ 872,84  (margen 0,28%)</t>
        </is>
      </c>
    </row>
    <row r="18" ht="20" customHeight="1">
      <c r="B18" s="4" t="inlineStr">
        <is>
          <t>POSICIÓN NETA</t>
        </is>
      </c>
      <c r="C18" s="5" t="inlineStr">
        <is>
          <t>€ -45.541,52  (descubierto + CXP - CXC)</t>
        </is>
      </c>
    </row>
    <row r="19" ht="18" customHeight="1">
      <c r="B19" s="6" t="inlineStr">
        <is>
          <t>⚠️  RESUMEN EJECUTIVO</t>
        </is>
      </c>
    </row>
    <row r="20" ht="120" customHeight="1">
      <c r="B20" s="7" t="inlineStr">
        <is>
          <t>La empresa cerró Q1-2026 con un resultado neto prácticamente neutro (€872,84), pero con una posición de tesorería CRÍTICA. El saldo bancario estimado al 31.03 es de -€37.251,21, con facturas pendientes de pago (CXP) por €53.051,47 frente a facturas por cobrar (CXC) de €44.761,16.
El punto más crítico: en 9 días del período el saldo real estuvo en negativo. Febrero fue el mes más difícil con una caída de ingresos del -23,6% intermensual y gastos elevados por liquidaciones de impuestos y seguros.
La buena noticia: los ingresos operativos son sólidos (€310K en 3 meses). El problema es de FLUJO, no de rentabilidad del negocio. La gestión del cash-flow y la negociación de plazos de pago son la prioridad #1.</t>
        </is>
      </c>
    </row>
    <row r="21" ht="18" customHeight="1"/>
    <row r="22" ht="18" customHeight="1"/>
    <row r="23" ht="18" customHeight="1"/>
    <row r="24" ht="18" customHeight="1"/>
    <row r="25" ht="18" customHeight="1"/>
    <row r="26" ht="18" customHeight="1"/>
    <row r="27" ht="18" customHeight="1"/>
    <row r="28" ht="18" customHeight="1">
      <c r="B28" s="8" t="inlineStr">
        <is>
          <t>Este informe contiene: Auditoría de Ingresos y Gastos | Flujo de Caja Diario | Posición Financiera Corregida | KPIs | Consejos de Gestión | Proyecciones Q2 2026</t>
        </is>
      </c>
    </row>
    <row r="29" ht="18" customHeight="1"/>
    <row r="30" ht="18" customHeight="1"/>
    <row r="31" ht="18" customHeight="1"/>
    <row r="32" ht="18" customHeight="1"/>
    <row r="33" ht="18" customHeight="1"/>
    <row r="34" ht="18" customHeight="1"/>
  </sheetData>
  <mergeCells count="6">
    <mergeCell ref="B28:D28"/>
    <mergeCell ref="B19:D19"/>
    <mergeCell ref="B1:D5"/>
    <mergeCell ref="B6:D8"/>
    <mergeCell ref="B9:D9"/>
    <mergeCell ref="B20:D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4" customWidth="1" min="6" max="6"/>
    <col width="14" customWidth="1" min="7" max="7"/>
  </cols>
  <sheetData>
    <row r="1" ht="26" customHeight="1">
      <c r="A1" s="9" t="inlineStr">
        <is>
          <t>1. AUDITORÍA DE INGRESOS — UMTELKOMD Q1 2026</t>
        </is>
      </c>
    </row>
    <row r="2">
      <c r="A2" s="10" t="inlineStr">
        <is>
          <t>Fuente: Extracto bancario UMTELKOMD — Movimientos Reales (excluidos IVA y transferencias internas)</t>
        </is>
      </c>
    </row>
    <row r="3" ht="20" customHeight="1">
      <c r="A3" s="11" t="inlineStr"/>
      <c r="B3" s="11" t="inlineStr">
        <is>
          <t>ENERO</t>
        </is>
      </c>
      <c r="C3" s="11" t="inlineStr">
        <is>
          <t>FEBRERO</t>
        </is>
      </c>
      <c r="D3" s="11" t="inlineStr">
        <is>
          <t>MARZO</t>
        </is>
      </c>
      <c r="E3" s="11" t="inlineStr">
        <is>
          <t>TOTAL Q1</t>
        </is>
      </c>
      <c r="F3" s="11" t="inlineStr">
        <is>
          <t>PARTICIP.</t>
        </is>
      </c>
      <c r="G3" s="11" t="inlineStr">
        <is>
          <t>TENDENCIA</t>
        </is>
      </c>
    </row>
    <row r="4">
      <c r="A4" s="12" t="inlineStr">
        <is>
          <t>Ingresos operativos (Insyte + otros)</t>
        </is>
      </c>
      <c r="B4" s="13" t="n">
        <v>143711.44</v>
      </c>
      <c r="C4" s="13" t="n">
        <v>109734.39</v>
      </c>
      <c r="D4" s="13" t="n">
        <v>57002.57</v>
      </c>
      <c r="E4" s="13" t="n">
        <v>310448.4</v>
      </c>
      <c r="F4" s="14" t="n">
        <v>1</v>
      </c>
      <c r="G4" s="14" t="n">
        <v>-0.2364255065567501</v>
      </c>
    </row>
    <row r="5">
      <c r="A5" s="15" t="inlineStr">
        <is>
          <t xml:space="preserve">  — Insyte Reverse Factoring (anticipos)</t>
        </is>
      </c>
      <c r="B5" s="16" t="n">
        <v>95000</v>
      </c>
      <c r="C5" s="16" t="n">
        <v>75000</v>
      </c>
      <c r="D5" s="16" t="n">
        <v>40000</v>
      </c>
      <c r="E5" s="16" t="n">
        <v>210000</v>
      </c>
      <c r="F5" s="17" t="n">
        <v>0.6764409157850386</v>
      </c>
      <c r="G5" s="17" t="n">
        <v>-0.2105263157894737</v>
      </c>
    </row>
    <row r="6">
      <c r="A6" s="15" t="inlineStr">
        <is>
          <t xml:space="preserve">  — Ingresos por proyectos facturados</t>
        </is>
      </c>
      <c r="B6" s="16" t="n">
        <v>48711.44</v>
      </c>
      <c r="C6" s="16" t="n">
        <v>34734.39</v>
      </c>
      <c r="D6" s="16" t="n">
        <v>17002.57</v>
      </c>
      <c r="E6" s="16" t="n">
        <v>100448.4</v>
      </c>
      <c r="F6" s="17" t="n">
        <v>0.3235590842149613</v>
      </c>
      <c r="G6" s="17" t="n">
        <v>-0.2869356767116719</v>
      </c>
    </row>
    <row r="7">
      <c r="A7" s="12" t="inlineStr">
        <is>
          <t>Devoluciones / Reembolsos</t>
        </is>
      </c>
      <c r="B7" s="13" t="n">
        <v>399.95</v>
      </c>
      <c r="C7" s="13" t="n">
        <v>430.37</v>
      </c>
      <c r="D7" s="13" t="n">
        <v>559.9299999999999</v>
      </c>
      <c r="E7" s="13" t="n">
        <v>1390.25</v>
      </c>
      <c r="F7" s="14" t="n">
        <v>0.004478199919857857</v>
      </c>
      <c r="G7" s="14" t="n">
        <v>0.07605950743842985</v>
      </c>
    </row>
    <row r="8">
      <c r="A8" s="12" t="inlineStr">
        <is>
          <t>TOTAL INGRESOS RECURRENTES</t>
        </is>
      </c>
      <c r="B8" s="13" t="n">
        <v>144111.39</v>
      </c>
      <c r="C8" s="13" t="n">
        <v>110164.76</v>
      </c>
      <c r="D8" s="13" t="n">
        <v>57562.5</v>
      </c>
      <c r="E8" s="13" t="n">
        <v>311838.65</v>
      </c>
      <c r="F8" s="14" t="n">
        <v>1.004478199919858</v>
      </c>
      <c r="G8" s="14" t="n">
        <v>-0.2355582719728123</v>
      </c>
    </row>
    <row r="9" ht="6" customHeight="1"/>
    <row r="10" ht="18" customHeight="1">
      <c r="A10" s="18" t="inlineStr">
        <is>
          <t>📊  KPIs DE INGRESOS</t>
        </is>
      </c>
    </row>
    <row r="11" ht="18" customHeight="1">
      <c r="A11" s="19" t="inlineStr">
        <is>
          <t>KPI</t>
        </is>
      </c>
      <c r="B11" s="19" t="inlineStr">
        <is>
          <t>VALOR</t>
        </is>
      </c>
      <c r="C11" s="19" t="inlineStr">
        <is>
          <t>NOTA</t>
        </is>
      </c>
    </row>
    <row r="12" ht="18" customHeight="1">
      <c r="A12" s="20" t="inlineStr">
        <is>
          <t>Ingreso mensual promedio</t>
        </is>
      </c>
      <c r="B12" s="21" t="inlineStr">
        <is>
          <t>€ 103.482,80</t>
        </is>
      </c>
      <c r="C12" s="22">
        <f>(143.711+109.734+57.003)/3</f>
        <v/>
      </c>
    </row>
    <row r="13" ht="18" customHeight="1">
      <c r="A13" s="20" t="inlineStr">
        <is>
          <t>Caída Feb vs Ene</t>
        </is>
      </c>
      <c r="B13" s="21" t="inlineStr">
        <is>
          <t>-23,6%</t>
        </is>
      </c>
      <c r="C13" s="22" t="inlineStr">
        <is>
          <t>⚠️ Señal de alerta — investigar causa</t>
        </is>
      </c>
    </row>
    <row r="14" ht="18" customHeight="1">
      <c r="A14" s="20" t="inlineStr">
        <is>
          <t>Caída Mar vs Feb</t>
        </is>
      </c>
      <c r="B14" s="21" t="inlineStr">
        <is>
          <t>-48,1%</t>
        </is>
      </c>
      <c r="C14" s="22" t="inlineStr">
        <is>
          <t>⚠️ Caída estacional o por fin de proyecto?</t>
        </is>
      </c>
    </row>
    <row r="15" ht="18" customHeight="1">
      <c r="A15" s="20" t="inlineStr">
        <is>
          <t>Tendencia general Q1</t>
        </is>
      </c>
      <c r="B15" s="21" t="inlineStr">
        <is>
          <t>-60,3%</t>
        </is>
      </c>
      <c r="C15" s="22" t="inlineStr">
        <is>
          <t>De €143K (Ene) a €57K (Mar)</t>
        </is>
      </c>
    </row>
    <row r="16" ht="18" customHeight="1">
      <c r="A16" s="20" t="inlineStr">
        <is>
          <t>Concentración Insyte</t>
        </is>
      </c>
      <c r="B16" s="21" t="inlineStr">
        <is>
          <t>~75% del revenue</t>
        </is>
      </c>
      <c r="C16" s="22" t="inlineStr">
        <is>
          <t>Riesgo alto si Insyte reduce volumen</t>
        </is>
      </c>
    </row>
    <row r="18" ht="40" customHeight="1">
      <c r="A18" s="23" t="inlineStr">
        <is>
          <t>⚠️  HALLAZGO: Caída acelerada de ingresos en marzo. Posibles causas: (1) Fin de fase de proyecto con Insyte. (2) Estacionalidad. (3) Facturación diferida. Recomendación: Verificar pipeline de proyectos para Q2.</t>
        </is>
      </c>
    </row>
  </sheetData>
  <mergeCells count="4">
    <mergeCell ref="A2:G2"/>
    <mergeCell ref="A1:G1"/>
    <mergeCell ref="A10:G10"/>
    <mergeCell ref="A18:G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3" customWidth="1" min="6" max="6"/>
    <col width="14" customWidth="1" min="7" max="7"/>
  </cols>
  <sheetData>
    <row r="1" ht="26" customHeight="1">
      <c r="A1" s="9" t="inlineStr">
        <is>
          <t>2. AUDITORÍA DE GASTOS — UMTELKOMD Q1 2026</t>
        </is>
      </c>
    </row>
    <row r="2">
      <c r="A2" s="10" t="inlineStr">
        <is>
          <t>Todos los gastos del período — categorías ordenadas por impacto total</t>
        </is>
      </c>
    </row>
    <row r="3" ht="20" customHeight="1">
      <c r="A3" s="11" t="inlineStr">
        <is>
          <t>CATEGORÍA</t>
        </is>
      </c>
      <c r="B3" s="11" t="inlineStr">
        <is>
          <t>ENERO</t>
        </is>
      </c>
      <c r="C3" s="11" t="inlineStr">
        <is>
          <t>FEBRERO</t>
        </is>
      </c>
      <c r="D3" s="11" t="inlineStr">
        <is>
          <t>MARZO</t>
        </is>
      </c>
      <c r="E3" s="11" t="inlineStr">
        <is>
          <t>TOTAL Q1</t>
        </is>
      </c>
      <c r="F3" s="11" t="inlineStr">
        <is>
          <t>PARTICIP.</t>
        </is>
      </c>
      <c r="G3" s="11" t="inlineStr">
        <is>
          <t>% SOBRE INGRESOS</t>
        </is>
      </c>
    </row>
    <row r="4">
      <c r="A4" s="24" t="inlineStr">
        <is>
          <t>Impuestos</t>
        </is>
      </c>
      <c r="B4" s="25" t="n">
        <v>-3182.18</v>
      </c>
      <c r="C4" s="25" t="n">
        <v>-58045.68</v>
      </c>
      <c r="D4" s="25" t="n">
        <v>-2002.87</v>
      </c>
      <c r="E4" s="25" t="n">
        <v>63230.73</v>
      </c>
      <c r="F4" s="26" t="n">
        <v>0.204249747622196</v>
      </c>
      <c r="G4" s="26" t="n">
        <v>0.2036754900331263</v>
      </c>
    </row>
    <row r="5">
      <c r="A5" s="27" t="inlineStr">
        <is>
          <t>Subcontratistas</t>
        </is>
      </c>
      <c r="B5" s="28" t="n">
        <v>-22820.72</v>
      </c>
      <c r="C5" s="28" t="n">
        <v>-18255.75</v>
      </c>
      <c r="D5" s="28" t="n">
        <v>-21879.5</v>
      </c>
      <c r="E5" s="28" t="n">
        <v>62955.97</v>
      </c>
      <c r="F5" s="29" t="n">
        <v>0.2033622098592021</v>
      </c>
      <c r="G5" s="29" t="n">
        <v>0.202790447623502</v>
      </c>
    </row>
    <row r="6">
      <c r="A6" s="27" t="inlineStr">
        <is>
          <t>Nóminas</t>
        </is>
      </c>
      <c r="B6" s="28" t="n">
        <v>-20771.01</v>
      </c>
      <c r="C6" s="28" t="n">
        <v>-19034.68</v>
      </c>
      <c r="D6" s="28" t="n">
        <v>-10888.89</v>
      </c>
      <c r="E6" s="28" t="n">
        <v>50694.58</v>
      </c>
      <c r="F6" s="29" t="n">
        <v>0.1637551103840368</v>
      </c>
      <c r="G6" s="29" t="n">
        <v>0.1632947053358948</v>
      </c>
    </row>
    <row r="7">
      <c r="A7" s="30" t="inlineStr">
        <is>
          <t>Seguros / Seg. Social</t>
        </is>
      </c>
      <c r="B7" s="31" t="n">
        <v>-6723.48</v>
      </c>
      <c r="C7" s="31" t="n">
        <v>-23791.95</v>
      </c>
      <c r="D7" s="31" t="n">
        <v>-4844.29</v>
      </c>
      <c r="E7" s="31" t="n">
        <v>35359.72</v>
      </c>
      <c r="F7" s="32" t="n">
        <v>0.1142199985037579</v>
      </c>
      <c r="G7" s="32" t="n">
        <v>0.1138988637081074</v>
      </c>
    </row>
    <row r="8">
      <c r="A8" s="30" t="inlineStr">
        <is>
          <t>Otros gastos</t>
        </is>
      </c>
      <c r="B8" s="31" t="n">
        <v>-18067.04</v>
      </c>
      <c r="C8" s="31" t="n">
        <v>-20301.58</v>
      </c>
      <c r="D8" s="31" t="n">
        <v>-301.2</v>
      </c>
      <c r="E8" s="31" t="n">
        <v>38669.82</v>
      </c>
      <c r="F8" s="32" t="n">
        <v>0.1249123800341345</v>
      </c>
      <c r="G8" s="32" t="n">
        <v>0.1245611831144886</v>
      </c>
    </row>
    <row r="9">
      <c r="A9" s="21" t="inlineStr">
        <is>
          <t>Tarjeta de crédito</t>
        </is>
      </c>
      <c r="B9" s="33" t="n">
        <v>-2392.82</v>
      </c>
      <c r="C9" s="33" t="n">
        <v>-8823.1</v>
      </c>
      <c r="D9" s="33" t="n">
        <v>-238.84</v>
      </c>
      <c r="E9" s="33" t="n">
        <v>11454.76</v>
      </c>
      <c r="F9" s="34" t="n">
        <v>0.0370014997307927</v>
      </c>
      <c r="G9" s="34" t="n">
        <v>0.03689746830713252</v>
      </c>
    </row>
    <row r="10">
      <c r="A10" s="21" t="inlineStr">
        <is>
          <t>Alquiler / Alojamiento</t>
        </is>
      </c>
      <c r="B10" s="33" t="n">
        <v>-675</v>
      </c>
      <c r="C10" s="33" t="n">
        <v>-5755.4</v>
      </c>
      <c r="D10" s="33" t="n">
        <v>-4181.2</v>
      </c>
      <c r="E10" s="33" t="n">
        <v>10611.6</v>
      </c>
      <c r="F10" s="34" t="n">
        <v>0.03427789971533929</v>
      </c>
      <c r="G10" s="34" t="n">
        <v>0.03418152581878341</v>
      </c>
    </row>
    <row r="11">
      <c r="A11" s="21" t="inlineStr">
        <is>
          <t>Proveedores técnicos</t>
        </is>
      </c>
      <c r="B11" s="33" t="n">
        <v>0</v>
      </c>
      <c r="C11" s="33" t="n">
        <v>-5157.4</v>
      </c>
      <c r="D11" s="33" t="n">
        <v>-1693</v>
      </c>
      <c r="E11" s="33" t="n">
        <v>6850.4</v>
      </c>
      <c r="F11" s="34" t="n">
        <v>0.02212836181254102</v>
      </c>
      <c r="G11" s="34" t="n">
        <v>0.02206614690235156</v>
      </c>
    </row>
    <row r="12">
      <c r="A12" s="21" t="inlineStr">
        <is>
          <t>Asesoría / Contabilidad</t>
        </is>
      </c>
      <c r="B12" s="33" t="n">
        <v>-4510.87</v>
      </c>
      <c r="C12" s="33" t="n">
        <v>-1503.45</v>
      </c>
      <c r="D12" s="33" t="n">
        <v>0</v>
      </c>
      <c r="E12" s="33" t="n">
        <v>6014.32</v>
      </c>
      <c r="F12" s="34" t="n">
        <v>0.01942763181951443</v>
      </c>
      <c r="G12" s="34" t="n">
        <v>0.01937301013630606</v>
      </c>
    </row>
    <row r="13">
      <c r="A13" s="21" t="inlineStr">
        <is>
          <t>Combustible</t>
        </is>
      </c>
      <c r="B13" s="33" t="n">
        <v>-1002.12</v>
      </c>
      <c r="C13" s="33" t="n">
        <v>-1233.61</v>
      </c>
      <c r="D13" s="33" t="n">
        <v>-2120.93</v>
      </c>
      <c r="E13" s="33" t="n">
        <v>4356.66</v>
      </c>
      <c r="F13" s="34" t="n">
        <v>0.0140730101562281</v>
      </c>
      <c r="G13" s="34" t="n">
        <v>0.01403344323887641</v>
      </c>
    </row>
    <row r="14">
      <c r="A14" s="21" t="inlineStr">
        <is>
          <t>Transferencias internas</t>
        </is>
      </c>
      <c r="B14" s="33" t="n">
        <v>-2677</v>
      </c>
      <c r="C14" s="33" t="n">
        <v>-1300</v>
      </c>
      <c r="D14" s="33" t="n">
        <v>-173.5</v>
      </c>
      <c r="E14" s="33" t="n">
        <v>4150.5</v>
      </c>
      <c r="F14" s="34" t="n">
        <v>0.01340706611335856</v>
      </c>
      <c r="G14" s="34" t="n">
        <v>0.01336937152840858</v>
      </c>
    </row>
    <row r="15">
      <c r="A15" s="21" t="inlineStr">
        <is>
          <t>Flota / Vehículos</t>
        </is>
      </c>
      <c r="B15" s="33" t="n">
        <v>-532.41</v>
      </c>
      <c r="C15" s="33" t="n">
        <v>-532.41</v>
      </c>
      <c r="D15" s="33" t="n">
        <v>-2832.32</v>
      </c>
      <c r="E15" s="33" t="n">
        <v>3897.14</v>
      </c>
      <c r="F15" s="34" t="n">
        <v>0.01258865525431013</v>
      </c>
      <c r="G15" s="34" t="n">
        <v>0.01255326166925002</v>
      </c>
    </row>
    <row r="16">
      <c r="A16" s="21" t="inlineStr">
        <is>
          <t>Seguros (varios)</t>
        </is>
      </c>
      <c r="B16" s="33" t="n">
        <v>-2403.19</v>
      </c>
      <c r="C16" s="33" t="n">
        <v>-376.3</v>
      </c>
      <c r="D16" s="33" t="n">
        <v>0</v>
      </c>
      <c r="E16" s="33" t="n">
        <v>2779.49</v>
      </c>
      <c r="F16" s="34" t="n">
        <v>0.008978389637734967</v>
      </c>
      <c r="G16" s="34" t="n">
        <v>0.008953146481025508</v>
      </c>
    </row>
    <row r="17">
      <c r="A17" s="21" t="inlineStr">
        <is>
          <t>Gastos internos / Préstamos</t>
        </is>
      </c>
      <c r="B17" s="33" t="n">
        <v>-1249.9</v>
      </c>
      <c r="C17" s="33" t="n">
        <v>-722.47</v>
      </c>
      <c r="D17" s="33" t="n">
        <v>-200</v>
      </c>
      <c r="E17" s="33" t="n">
        <v>2172.37</v>
      </c>
      <c r="F17" s="34" t="n">
        <v>0.007017252912342305</v>
      </c>
      <c r="G17" s="34" t="n">
        <v>0.006997523582018782</v>
      </c>
    </row>
    <row r="18">
      <c r="A18" s="21" t="inlineStr">
        <is>
          <t>Materiales / Herramientas</t>
        </is>
      </c>
      <c r="B18" s="33" t="n">
        <v>-251.77</v>
      </c>
      <c r="C18" s="33" t="n">
        <v>-79.61</v>
      </c>
      <c r="D18" s="33" t="n">
        <v>-1338.6</v>
      </c>
      <c r="E18" s="33" t="n">
        <v>1669.98</v>
      </c>
      <c r="F18" s="34" t="n">
        <v>0.005394418086492357</v>
      </c>
      <c r="G18" s="34" t="n">
        <v>0.005379251431155709</v>
      </c>
    </row>
    <row r="19">
      <c r="A19" s="21" t="inlineStr">
        <is>
          <t>Amazon</t>
        </is>
      </c>
      <c r="B19" s="33" t="n">
        <v>-238.18</v>
      </c>
      <c r="C19" s="33" t="n">
        <v>-48.99</v>
      </c>
      <c r="D19" s="33" t="n">
        <v>-758.61</v>
      </c>
      <c r="E19" s="33" t="n">
        <v>1045.78</v>
      </c>
      <c r="F19" s="34" t="n">
        <v>0.003378109047109533</v>
      </c>
      <c r="G19" s="34" t="n">
        <v>0.003368611337665132</v>
      </c>
    </row>
    <row r="20">
      <c r="A20" s="21" t="inlineStr">
        <is>
          <t>Telefonía / Internet</t>
        </is>
      </c>
      <c r="B20" s="33" t="n">
        <v>-252.23</v>
      </c>
      <c r="C20" s="33" t="n">
        <v>-233.87</v>
      </c>
      <c r="D20" s="33" t="n">
        <v>-239.94</v>
      </c>
      <c r="E20" s="33" t="n">
        <v>726.04</v>
      </c>
      <c r="F20" s="34" t="n">
        <v>0.002345275576663739</v>
      </c>
      <c r="G20" s="34" t="n">
        <v>0.00233868172617414</v>
      </c>
    </row>
    <row r="21">
      <c r="A21" s="35" t="inlineStr">
        <is>
          <t>TOTAL GASTOS</t>
        </is>
      </c>
      <c r="B21" s="36" t="n">
        <v>-89190.94</v>
      </c>
      <c r="C21" s="36" t="n">
        <v>-165529.45</v>
      </c>
      <c r="D21" s="36" t="n">
        <v>-54855.17</v>
      </c>
      <c r="E21" s="36" t="n">
        <v>309575.56</v>
      </c>
      <c r="F21" s="37" t="n">
        <v>1</v>
      </c>
      <c r="G21" s="37" t="n">
        <v>1</v>
      </c>
    </row>
    <row r="23" ht="18" customHeight="1">
      <c r="A23" s="38" t="inlineStr">
        <is>
          <t>⚠️  HALLAZGOS CLAVE — GASTOS</t>
        </is>
      </c>
    </row>
    <row r="24" ht="18" customHeight="1">
      <c r="A24" s="39" t="inlineStr">
        <is>
          <t>▸  IMPUESTOS (€63.231 — 20,4% del total)</t>
        </is>
      </c>
    </row>
    <row r="25" ht="36" customHeight="1">
      <c r="A25" s="40" t="inlineStr">
        <is>
          <t>Febrero fue extraordinario: €58.046 solo en impuestos. Esto incluye liquidaciones de IVA y posiblemente pagos a cuenta del ejercicio anterior. A partir de marzo vuelve a niveles normales (~€2K).</t>
        </is>
      </c>
    </row>
    <row r="26" ht="18" customHeight="1">
      <c r="A26" s="39" t="inlineStr">
        <is>
          <t>▸  FEBRERO GASTO MÁXIMO (€165.529)</t>
        </is>
      </c>
    </row>
    <row r="27" ht="36" customHeight="1">
      <c r="A27" s="40" t="inlineStr">
        <is>
          <t>Febrero fue el mes más costoso del trimestre. Los €165.529 de gastos vs €109.734 de ingresos generaron un resultado neto de -€55.795. Este mes actúa como 'amortiguador fiscal' — los pagos extraordinarios de impuestos reducen la caja drásticamente.</t>
        </is>
      </c>
    </row>
    <row r="28" ht="18" customHeight="1">
      <c r="A28" s="39" t="inlineStr">
        <is>
          <t>▸  SUBCONTRATISTAS (€62.956 — 20,3%)</t>
        </is>
      </c>
    </row>
    <row r="29" ht="36" customHeight="1">
      <c r="A29" s="40" t="inlineStr">
        <is>
          <t>Primera categoría de gasto. Son costos variables ligados a proyectos. Ajustar su volumen al ritmo de ingresos nuevos. Verificar que los anticipos de Insyte cubren al menos el 80% de estos costos.</t>
        </is>
      </c>
    </row>
    <row r="30" ht="18" customHeight="1">
      <c r="A30" s="39" t="inlineStr">
        <is>
          <t>▸  NÓMINAS + SEGUROS SOCIALES (€86.054 — 27,8%)</t>
        </is>
      </c>
    </row>
    <row r="31" ht="36" customHeight="1">
      <c r="A31" s="40" t="inlineStr">
        <is>
          <t>Coste laboral total (nóminas netas + TK, BARMER, AOK, TUI BKK). Es el mayor bloque de gasto fijo. Mantener bajo vigilancia mensual.</t>
        </is>
      </c>
    </row>
    <row r="32" ht="18" customHeight="1">
      <c r="A32" s="39" t="inlineStr">
        <is>
          <t>▸  ALQUILER / ALOJAMIENTO (€10.612 — 3,4%)</t>
        </is>
      </c>
    </row>
    <row r="33" ht="36" customHeight="1">
      <c r="A33" s="40" t="inlineStr">
        <is>
          <t>Costos de vivienda del equipo. Si hay personas con contratos que pueden optimizarse, es una partida a revisar para reducir costos fijos.</t>
        </is>
      </c>
    </row>
  </sheetData>
  <mergeCells count="13">
    <mergeCell ref="A32:G32"/>
    <mergeCell ref="A1:G1"/>
    <mergeCell ref="A27:G27"/>
    <mergeCell ref="A31:G31"/>
    <mergeCell ref="A26:G26"/>
    <mergeCell ref="A24:G24"/>
    <mergeCell ref="A2:G2"/>
    <mergeCell ref="A30:G30"/>
    <mergeCell ref="A29:G29"/>
    <mergeCell ref="A25:G25"/>
    <mergeCell ref="A33:G33"/>
    <mergeCell ref="A28:G28"/>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
  <sheetViews>
    <sheetView showGridLines="0" workbookViewId="0">
      <selection activeCell="A1" sqref="A1"/>
    </sheetView>
  </sheetViews>
  <sheetFormatPr baseColWidth="8" defaultRowHeight="15"/>
  <cols>
    <col width="14" customWidth="1" min="1" max="1"/>
    <col width="24" customWidth="1" min="2" max="2"/>
    <col width="30" customWidth="1" min="3" max="3"/>
    <col width="20" customWidth="1" min="4" max="4"/>
    <col width="30" customWidth="1" min="5" max="5"/>
  </cols>
  <sheetData>
    <row r="1">
      <c r="A1" s="9" t="inlineStr">
        <is>
          <t>3. FLUJO DE CAJA DIARIO — UMTELKOMD Q1 2026  (períodos negativos marcados)</t>
        </is>
      </c>
    </row>
    <row r="2">
      <c r="A2" s="10" t="inlineStr">
        <is>
          <t>Fuente: Extracto bancario — movimientos diarios. Períodos negativos = descubiertos bancarios. Cada día negativo cuesta ~€15-30 en comisiones + riesgos.</t>
        </is>
      </c>
    </row>
    <row r="3" ht="20" customHeight="1">
      <c r="A3" s="11" t="inlineStr">
        <is>
          <t>FECHA</t>
        </is>
      </c>
      <c r="B3" s="11" t="inlineStr">
        <is>
          <t>MOVIMIENTO DÍA (€)</t>
        </is>
      </c>
      <c r="C3" s="11" t="inlineStr">
        <is>
          <t>SALDO ACUMULADO (€)</t>
        </is>
      </c>
      <c r="D3" s="11" t="inlineStr">
        <is>
          <t>MÍNIMO NECESARIO</t>
        </is>
      </c>
      <c r="E3" s="11" t="inlineStr">
        <is>
          <t>ESTADO</t>
        </is>
      </c>
    </row>
    <row r="4">
      <c r="A4" s="41" t="inlineStr">
        <is>
          <t>2026-01-02</t>
        </is>
      </c>
      <c r="B4" s="42" t="n">
        <v>69868.89999999999</v>
      </c>
      <c r="C4" s="42" t="n">
        <v>69868.89999999999</v>
      </c>
      <c r="D4" s="42" t="inlineStr"/>
      <c r="E4" s="43" t="inlineStr">
        <is>
          <t>🟢 OK</t>
        </is>
      </c>
    </row>
    <row r="5">
      <c r="A5" s="41" t="inlineStr">
        <is>
          <t>2026-01-05</t>
        </is>
      </c>
      <c r="B5" s="42" t="n">
        <v>-2631.38</v>
      </c>
      <c r="C5" s="42" t="n">
        <v>67237.52</v>
      </c>
      <c r="D5" s="42" t="inlineStr"/>
      <c r="E5" s="43" t="inlineStr">
        <is>
          <t>🟢 OK</t>
        </is>
      </c>
    </row>
    <row r="6">
      <c r="A6" s="41" t="inlineStr">
        <is>
          <t>2026-01-06</t>
        </is>
      </c>
      <c r="B6" s="42" t="n">
        <v>-549.09</v>
      </c>
      <c r="C6" s="42" t="n">
        <v>66688.42999999999</v>
      </c>
      <c r="D6" s="42" t="inlineStr"/>
      <c r="E6" s="43" t="inlineStr">
        <is>
          <t>🟢 OK</t>
        </is>
      </c>
    </row>
    <row r="7">
      <c r="A7" s="41" t="inlineStr">
        <is>
          <t>2026-01-07</t>
        </is>
      </c>
      <c r="B7" s="42" t="n">
        <v>126.82</v>
      </c>
      <c r="C7" s="42" t="n">
        <v>66815.25</v>
      </c>
      <c r="D7" s="42" t="inlineStr"/>
      <c r="E7" s="43" t="inlineStr">
        <is>
          <t>🟢 OK</t>
        </is>
      </c>
    </row>
    <row r="8">
      <c r="A8" s="41" t="inlineStr">
        <is>
          <t>2026-01-08</t>
        </is>
      </c>
      <c r="B8" s="42" t="n">
        <v>-2566.72</v>
      </c>
      <c r="C8" s="42" t="n">
        <v>64248.53</v>
      </c>
      <c r="D8" s="42" t="inlineStr"/>
      <c r="E8" s="43" t="inlineStr">
        <is>
          <t>🟢 OK</t>
        </is>
      </c>
    </row>
    <row r="9">
      <c r="A9" s="41" t="inlineStr">
        <is>
          <t>2026-01-09</t>
        </is>
      </c>
      <c r="B9" s="42" t="n">
        <v>-2337.83</v>
      </c>
      <c r="C9" s="42" t="n">
        <v>61910.7</v>
      </c>
      <c r="D9" s="42" t="inlineStr"/>
      <c r="E9" s="43" t="inlineStr">
        <is>
          <t>🟢 OK</t>
        </is>
      </c>
    </row>
    <row r="10">
      <c r="A10" s="41" t="inlineStr">
        <is>
          <t>2026-01-12</t>
        </is>
      </c>
      <c r="B10" s="42" t="n">
        <v>-43171.35</v>
      </c>
      <c r="C10" s="42" t="n">
        <v>18739.35</v>
      </c>
      <c r="D10" s="42" t="inlineStr"/>
      <c r="E10" s="43" t="inlineStr">
        <is>
          <t>🟢 OK</t>
        </is>
      </c>
    </row>
    <row r="11">
      <c r="A11" s="41" t="inlineStr">
        <is>
          <t>2026-01-13</t>
        </is>
      </c>
      <c r="B11" s="42" t="n">
        <v>-4587</v>
      </c>
      <c r="C11" s="42" t="n">
        <v>14152.35</v>
      </c>
      <c r="D11" s="42" t="inlineStr"/>
      <c r="E11" s="43" t="inlineStr">
        <is>
          <t>🟢 OK</t>
        </is>
      </c>
    </row>
    <row r="12">
      <c r="A12" s="41" t="inlineStr">
        <is>
          <t>2026-01-14</t>
        </is>
      </c>
      <c r="B12" s="42" t="n">
        <v>-3331.95</v>
      </c>
      <c r="C12" s="42" t="n">
        <v>10820.4</v>
      </c>
      <c r="D12" s="42" t="inlineStr"/>
      <c r="E12" s="43" t="inlineStr">
        <is>
          <t>🟢 OK</t>
        </is>
      </c>
    </row>
    <row r="13">
      <c r="A13" s="41" t="inlineStr">
        <is>
          <t>2026-01-15</t>
        </is>
      </c>
      <c r="B13" s="42" t="n">
        <v>-2863.02</v>
      </c>
      <c r="C13" s="42" t="n">
        <v>7957.38</v>
      </c>
      <c r="D13" s="42" t="inlineStr"/>
      <c r="E13" s="43" t="inlineStr">
        <is>
          <t>🟢 OK</t>
        </is>
      </c>
    </row>
    <row r="14">
      <c r="A14" s="41" t="inlineStr">
        <is>
          <t>2026-01-16</t>
        </is>
      </c>
      <c r="B14" s="42" t="n">
        <v>18560.13</v>
      </c>
      <c r="C14" s="42" t="n">
        <v>26517.51</v>
      </c>
      <c r="D14" s="42" t="inlineStr"/>
      <c r="E14" s="43" t="inlineStr">
        <is>
          <t>🟢 OK</t>
        </is>
      </c>
    </row>
    <row r="15">
      <c r="A15" s="41" t="inlineStr">
        <is>
          <t>2026-01-19</t>
        </is>
      </c>
      <c r="B15" s="42" t="n">
        <v>-155.76</v>
      </c>
      <c r="C15" s="42" t="n">
        <v>26361.75</v>
      </c>
      <c r="D15" s="42" t="inlineStr"/>
      <c r="E15" s="43" t="inlineStr">
        <is>
          <t>🟢 OK</t>
        </is>
      </c>
    </row>
    <row r="16">
      <c r="A16" s="41" t="inlineStr">
        <is>
          <t>2026-01-20</t>
        </is>
      </c>
      <c r="B16" s="42" t="n">
        <v>768.3200000000001</v>
      </c>
      <c r="C16" s="42" t="n">
        <v>27130.07</v>
      </c>
      <c r="D16" s="42" t="inlineStr"/>
      <c r="E16" s="43" t="inlineStr">
        <is>
          <t>🟢 OK</t>
        </is>
      </c>
    </row>
    <row r="17">
      <c r="A17" s="41" t="inlineStr">
        <is>
          <t>2026-01-21</t>
        </is>
      </c>
      <c r="B17" s="42" t="n">
        <v>-260.28</v>
      </c>
      <c r="C17" s="42" t="n">
        <v>26869.79</v>
      </c>
      <c r="D17" s="42" t="inlineStr"/>
      <c r="E17" s="43" t="inlineStr">
        <is>
          <t>🟢 OK</t>
        </is>
      </c>
    </row>
    <row r="18">
      <c r="A18" s="41" t="inlineStr">
        <is>
          <t>2026-01-22</t>
        </is>
      </c>
      <c r="B18" s="42" t="n">
        <v>-6243.88</v>
      </c>
      <c r="C18" s="42" t="n">
        <v>20625.91</v>
      </c>
      <c r="D18" s="42" t="inlineStr"/>
      <c r="E18" s="43" t="inlineStr">
        <is>
          <t>🟢 OK</t>
        </is>
      </c>
    </row>
    <row r="19">
      <c r="A19" s="41" t="inlineStr">
        <is>
          <t>2026-01-23</t>
        </is>
      </c>
      <c r="B19" s="42" t="n">
        <v>36809.67</v>
      </c>
      <c r="C19" s="42" t="n">
        <v>57435.58</v>
      </c>
      <c r="D19" s="42" t="inlineStr"/>
      <c r="E19" s="43" t="inlineStr">
        <is>
          <t>🟢 OK</t>
        </is>
      </c>
    </row>
    <row r="20">
      <c r="A20" s="41" t="inlineStr">
        <is>
          <t>2026-01-26</t>
        </is>
      </c>
      <c r="B20" s="42" t="n">
        <v>239.97</v>
      </c>
      <c r="C20" s="42" t="n">
        <v>57675.55</v>
      </c>
      <c r="D20" s="42" t="inlineStr"/>
      <c r="E20" s="43" t="inlineStr">
        <is>
          <t>🟢 OK</t>
        </is>
      </c>
    </row>
    <row r="21">
      <c r="A21" s="41" t="inlineStr">
        <is>
          <t>2026-01-27</t>
        </is>
      </c>
      <c r="B21" s="42" t="n">
        <v>-700.6900000000001</v>
      </c>
      <c r="C21" s="42" t="n">
        <v>56974.86</v>
      </c>
      <c r="D21" s="42" t="inlineStr"/>
      <c r="E21" s="43" t="inlineStr">
        <is>
          <t>🟢 OK</t>
        </is>
      </c>
    </row>
    <row r="22">
      <c r="A22" s="41" t="inlineStr">
        <is>
          <t>2026-01-28</t>
        </is>
      </c>
      <c r="B22" s="42" t="n">
        <v>-2400.88</v>
      </c>
      <c r="C22" s="42" t="n">
        <v>54573.98</v>
      </c>
      <c r="D22" s="42" t="inlineStr"/>
      <c r="E22" s="43" t="inlineStr">
        <is>
          <t>🟢 OK</t>
        </is>
      </c>
    </row>
    <row r="23">
      <c r="A23" s="41" t="inlineStr">
        <is>
          <t>2026-01-30</t>
        </is>
      </c>
      <c r="B23" s="42" t="n">
        <v>-53.48</v>
      </c>
      <c r="C23" s="42" t="n">
        <v>54520.5</v>
      </c>
      <c r="D23" s="42" t="inlineStr"/>
      <c r="E23" s="43" t="inlineStr">
        <is>
          <t>🟢 OK</t>
        </is>
      </c>
    </row>
    <row r="24">
      <c r="A24" s="41" t="inlineStr">
        <is>
          <t>2026-02-02</t>
        </is>
      </c>
      <c r="B24" s="42" t="n">
        <v>-2482</v>
      </c>
      <c r="C24" s="42" t="n">
        <v>52038.5</v>
      </c>
      <c r="D24" s="42" t="inlineStr"/>
      <c r="E24" s="43" t="inlineStr">
        <is>
          <t>🟢 OK</t>
        </is>
      </c>
    </row>
    <row r="25">
      <c r="A25" s="41" t="inlineStr">
        <is>
          <t>2026-02-03</t>
        </is>
      </c>
      <c r="B25" s="42" t="n">
        <v>-6903.67</v>
      </c>
      <c r="C25" s="42" t="n">
        <v>45134.83</v>
      </c>
      <c r="D25" s="42" t="inlineStr"/>
      <c r="E25" s="43" t="inlineStr">
        <is>
          <t>🟢 OK</t>
        </is>
      </c>
    </row>
    <row r="26">
      <c r="A26" s="41" t="inlineStr">
        <is>
          <t>2026-02-04</t>
        </is>
      </c>
      <c r="B26" s="42" t="n">
        <v>-30</v>
      </c>
      <c r="C26" s="42" t="n">
        <v>45104.83</v>
      </c>
      <c r="D26" s="42" t="inlineStr"/>
      <c r="E26" s="43" t="inlineStr">
        <is>
          <t>🟢 OK</t>
        </is>
      </c>
    </row>
    <row r="27">
      <c r="A27" s="41" t="inlineStr">
        <is>
          <t>2026-02-05</t>
        </is>
      </c>
      <c r="B27" s="42" t="n">
        <v>-33271.27</v>
      </c>
      <c r="C27" s="42" t="n">
        <v>11833.56</v>
      </c>
      <c r="D27" s="42" t="inlineStr"/>
      <c r="E27" s="43" t="inlineStr">
        <is>
          <t>🟢 OK</t>
        </is>
      </c>
    </row>
    <row r="28">
      <c r="A28" s="41" t="inlineStr">
        <is>
          <t>2026-02-06</t>
        </is>
      </c>
      <c r="B28" s="42" t="n">
        <v>54492.83</v>
      </c>
      <c r="C28" s="42" t="n">
        <v>66326.39</v>
      </c>
      <c r="D28" s="42" t="inlineStr"/>
      <c r="E28" s="43" t="inlineStr">
        <is>
          <t>🟢 OK</t>
        </is>
      </c>
    </row>
    <row r="29">
      <c r="A29" s="41" t="inlineStr">
        <is>
          <t>2026-02-09</t>
        </is>
      </c>
      <c r="B29" s="42" t="n">
        <v>-17998.56</v>
      </c>
      <c r="C29" s="42" t="n">
        <v>48327.83</v>
      </c>
      <c r="D29" s="42" t="inlineStr"/>
      <c r="E29" s="43" t="inlineStr">
        <is>
          <t>🟢 OK</t>
        </is>
      </c>
    </row>
    <row r="30">
      <c r="A30" s="41" t="inlineStr">
        <is>
          <t>2026-02-10</t>
        </is>
      </c>
      <c r="B30" s="42" t="n">
        <v>-2543.48</v>
      </c>
      <c r="C30" s="42" t="n">
        <v>45784.35</v>
      </c>
      <c r="D30" s="42" t="inlineStr"/>
      <c r="E30" s="43" t="inlineStr">
        <is>
          <t>🟢 OK</t>
        </is>
      </c>
    </row>
    <row r="31">
      <c r="A31" s="41" t="inlineStr">
        <is>
          <t>2026-02-12</t>
        </is>
      </c>
      <c r="B31" s="42" t="n">
        <v>-4867.77</v>
      </c>
      <c r="C31" s="42" t="n">
        <v>40916.58</v>
      </c>
      <c r="D31" s="42" t="inlineStr"/>
      <c r="E31" s="43" t="inlineStr">
        <is>
          <t>🟢 OK</t>
        </is>
      </c>
    </row>
    <row r="32">
      <c r="A32" s="41" t="inlineStr">
        <is>
          <t>2026-02-13</t>
        </is>
      </c>
      <c r="B32" s="42" t="n">
        <v>-27501.77</v>
      </c>
      <c r="C32" s="42" t="n">
        <v>13414.81</v>
      </c>
      <c r="D32" s="42" t="inlineStr"/>
      <c r="E32" s="43" t="inlineStr">
        <is>
          <t>🟢 OK</t>
        </is>
      </c>
    </row>
    <row r="33">
      <c r="A33" s="41" t="inlineStr">
        <is>
          <t>2026-02-16</t>
        </is>
      </c>
      <c r="B33" s="42" t="n">
        <v>-54.94</v>
      </c>
      <c r="C33" s="42" t="n">
        <v>13359.87</v>
      </c>
      <c r="D33" s="42" t="inlineStr"/>
      <c r="E33" s="43" t="inlineStr">
        <is>
          <t>🟢 OK</t>
        </is>
      </c>
    </row>
    <row r="34">
      <c r="A34" s="41" t="inlineStr">
        <is>
          <t>2026-02-17</t>
        </is>
      </c>
      <c r="B34" s="42" t="n">
        <v>29.56</v>
      </c>
      <c r="C34" s="42" t="n">
        <v>13389.43</v>
      </c>
      <c r="D34" s="42" t="inlineStr"/>
      <c r="E34" s="43" t="inlineStr">
        <is>
          <t>🟢 OK</t>
        </is>
      </c>
    </row>
    <row r="35">
      <c r="A35" s="41" t="inlineStr">
        <is>
          <t>2026-02-18</t>
        </is>
      </c>
      <c r="B35" s="42" t="n">
        <v>-381.06</v>
      </c>
      <c r="C35" s="42" t="n">
        <v>13008.37</v>
      </c>
      <c r="D35" s="42" t="inlineStr"/>
      <c r="E35" s="43" t="inlineStr">
        <is>
          <t>🟢 OK</t>
        </is>
      </c>
    </row>
    <row r="36">
      <c r="A36" s="41" t="inlineStr">
        <is>
          <t>2026-02-19</t>
        </is>
      </c>
      <c r="B36" s="42" t="n">
        <v>-4.28</v>
      </c>
      <c r="C36" s="42" t="n">
        <v>13004.09</v>
      </c>
      <c r="D36" s="42" t="inlineStr"/>
      <c r="E36" s="43" t="inlineStr">
        <is>
          <t>🟢 OK</t>
        </is>
      </c>
    </row>
    <row r="37">
      <c r="A37" s="41" t="inlineStr">
        <is>
          <t>2026-02-20</t>
        </is>
      </c>
      <c r="B37" s="42" t="n">
        <v>12395.58</v>
      </c>
      <c r="C37" s="42" t="n">
        <v>25399.67</v>
      </c>
      <c r="D37" s="42" t="inlineStr"/>
      <c r="E37" s="43" t="inlineStr">
        <is>
          <t>🟢 OK</t>
        </is>
      </c>
    </row>
    <row r="38">
      <c r="A38" s="41" t="inlineStr">
        <is>
          <t>2026-02-23</t>
        </is>
      </c>
      <c r="B38" s="42" t="n">
        <v>-16087.01</v>
      </c>
      <c r="C38" s="42" t="n">
        <v>9312.66</v>
      </c>
      <c r="D38" s="42" t="inlineStr"/>
      <c r="E38" s="43" t="inlineStr">
        <is>
          <t>🟢 OK</t>
        </is>
      </c>
    </row>
    <row r="39">
      <c r="A39" s="44" t="inlineStr">
        <is>
          <t>2026-02-24</t>
        </is>
      </c>
      <c r="B39" s="28" t="n">
        <v>-2928.01</v>
      </c>
      <c r="C39" s="28" t="n">
        <v>6384.65</v>
      </c>
      <c r="D39" s="28" t="inlineStr"/>
      <c r="E39" s="27" t="inlineStr">
        <is>
          <t>🟢 ⚠️ BAJO</t>
        </is>
      </c>
    </row>
    <row r="40">
      <c r="A40" s="41" t="inlineStr">
        <is>
          <t>2026-02-25</t>
        </is>
      </c>
      <c r="B40" s="42" t="n">
        <v>6152.35</v>
      </c>
      <c r="C40" s="42" t="n">
        <v>12537</v>
      </c>
      <c r="D40" s="42" t="inlineStr"/>
      <c r="E40" s="43" t="inlineStr">
        <is>
          <t>🟢 OK</t>
        </is>
      </c>
    </row>
    <row r="41">
      <c r="A41" s="41" t="inlineStr">
        <is>
          <t>2026-02-26</t>
        </is>
      </c>
      <c r="B41" s="42" t="n">
        <v>-194.92</v>
      </c>
      <c r="C41" s="42" t="n">
        <v>12342.08</v>
      </c>
      <c r="D41" s="42" t="inlineStr"/>
      <c r="E41" s="43" t="inlineStr">
        <is>
          <t>🟢 OK</t>
        </is>
      </c>
    </row>
    <row r="42">
      <c r="A42" s="45" t="inlineStr">
        <is>
          <t>2026-02-27</t>
        </is>
      </c>
      <c r="B42" s="46" t="n">
        <v>-13616.64</v>
      </c>
      <c r="C42" s="46" t="n">
        <v>-1274.56</v>
      </c>
      <c r="D42" s="46" t="n">
        <v>1274.56</v>
      </c>
      <c r="E42" s="47" t="inlineStr">
        <is>
          <t>🔴 ⚠️ EN DESCUBIERTO</t>
        </is>
      </c>
    </row>
    <row r="43">
      <c r="A43" s="45" t="inlineStr">
        <is>
          <t>2026-03-02</t>
        </is>
      </c>
      <c r="B43" s="46" t="n">
        <v>116.98</v>
      </c>
      <c r="C43" s="46" t="n">
        <v>-1157.58</v>
      </c>
      <c r="D43" s="46" t="n">
        <v>1157.58</v>
      </c>
      <c r="E43" s="47" t="inlineStr">
        <is>
          <t>🔴 ⚠️ EN DESCUBIERTO</t>
        </is>
      </c>
    </row>
    <row r="44">
      <c r="A44" s="45" t="inlineStr">
        <is>
          <t>2026-03-03</t>
        </is>
      </c>
      <c r="B44" s="46" t="n">
        <v>-216.74</v>
      </c>
      <c r="C44" s="46" t="n">
        <v>-1374.32</v>
      </c>
      <c r="D44" s="46" t="n">
        <v>1374.32</v>
      </c>
      <c r="E44" s="47" t="inlineStr">
        <is>
          <t>🔴 ⚠️ EN DESCUBIERTO</t>
        </is>
      </c>
    </row>
    <row r="45">
      <c r="A45" s="45" t="inlineStr">
        <is>
          <t>2026-03-04</t>
        </is>
      </c>
      <c r="B45" s="46" t="n">
        <v>-5512</v>
      </c>
      <c r="C45" s="46" t="n">
        <v>-6886.32</v>
      </c>
      <c r="D45" s="46" t="n">
        <v>6886.32</v>
      </c>
      <c r="E45" s="47" t="inlineStr">
        <is>
          <t>🔴 ⚠️ EN DESCUBIERTO</t>
        </is>
      </c>
    </row>
    <row r="46">
      <c r="A46" s="45" t="inlineStr">
        <is>
          <t>2026-03-05</t>
        </is>
      </c>
      <c r="B46" s="46" t="n">
        <v>-258.93</v>
      </c>
      <c r="C46" s="46" t="n">
        <v>-7145.25</v>
      </c>
      <c r="D46" s="46" t="n">
        <v>7145.25</v>
      </c>
      <c r="E46" s="47" t="inlineStr">
        <is>
          <t>🔴 ⚠️ EN DESCUBIERTO</t>
        </is>
      </c>
    </row>
    <row r="47">
      <c r="A47" s="44" t="inlineStr">
        <is>
          <t>2026-03-06</t>
        </is>
      </c>
      <c r="B47" s="28" t="n">
        <v>13010.5</v>
      </c>
      <c r="C47" s="28" t="n">
        <v>5865.25</v>
      </c>
      <c r="D47" s="28" t="inlineStr"/>
      <c r="E47" s="27" t="inlineStr">
        <is>
          <t>🟢 ⚠️ BAJO</t>
        </is>
      </c>
    </row>
    <row r="48">
      <c r="A48" s="44" t="inlineStr">
        <is>
          <t>2026-03-09</t>
        </is>
      </c>
      <c r="B48" s="28" t="n">
        <v>-1181.72</v>
      </c>
      <c r="C48" s="28" t="n">
        <v>4683.53</v>
      </c>
      <c r="D48" s="28" t="inlineStr"/>
      <c r="E48" s="27" t="inlineStr">
        <is>
          <t>🟡 ⚠️ BAJO</t>
        </is>
      </c>
    </row>
    <row r="49">
      <c r="A49" s="44" t="inlineStr">
        <is>
          <t>2026-03-10</t>
        </is>
      </c>
      <c r="B49" s="28" t="n">
        <v>-1095.13</v>
      </c>
      <c r="C49" s="28" t="n">
        <v>3588.4</v>
      </c>
      <c r="D49" s="28" t="inlineStr"/>
      <c r="E49" s="27" t="inlineStr">
        <is>
          <t>🟡 ⚠️ BAJO</t>
        </is>
      </c>
    </row>
    <row r="50">
      <c r="A50" s="44" t="inlineStr">
        <is>
          <t>2026-03-11</t>
        </is>
      </c>
      <c r="B50" s="28" t="n">
        <v>-1099.88</v>
      </c>
      <c r="C50" s="28" t="n">
        <v>2488.52</v>
      </c>
      <c r="D50" s="28" t="inlineStr"/>
      <c r="E50" s="27" t="inlineStr">
        <is>
          <t>🟡 ⚠️ BAJO</t>
        </is>
      </c>
    </row>
    <row r="51">
      <c r="A51" s="45" t="inlineStr">
        <is>
          <t>2026-03-12</t>
        </is>
      </c>
      <c r="B51" s="46" t="n">
        <v>-3913.81</v>
      </c>
      <c r="C51" s="46" t="n">
        <v>-1425.29</v>
      </c>
      <c r="D51" s="46" t="n">
        <v>7145</v>
      </c>
      <c r="E51" s="47" t="inlineStr">
        <is>
          <t>🔴 ⚠️ EN DESCUBIERTO</t>
        </is>
      </c>
    </row>
    <row r="52">
      <c r="A52" s="41" t="inlineStr">
        <is>
          <t>2026-03-13</t>
        </is>
      </c>
      <c r="B52" s="42" t="n">
        <v>16382.72</v>
      </c>
      <c r="C52" s="42" t="n">
        <v>14957.43</v>
      </c>
      <c r="D52" s="42" t="inlineStr"/>
      <c r="E52" s="43" t="inlineStr">
        <is>
          <t>🟢 OK</t>
        </is>
      </c>
    </row>
    <row r="53">
      <c r="A53" s="41" t="inlineStr">
        <is>
          <t>2026-03-16</t>
        </is>
      </c>
      <c r="B53" s="42" t="n">
        <v>-743.0700000000001</v>
      </c>
      <c r="C53" s="42" t="n">
        <v>14214.36</v>
      </c>
      <c r="D53" s="42" t="inlineStr"/>
      <c r="E53" s="43" t="inlineStr">
        <is>
          <t>🟢 OK</t>
        </is>
      </c>
    </row>
    <row r="54">
      <c r="A54" s="44" t="inlineStr">
        <is>
          <t>2026-03-17</t>
        </is>
      </c>
      <c r="B54" s="28" t="n">
        <v>-12038.71</v>
      </c>
      <c r="C54" s="28" t="n">
        <v>2175.65</v>
      </c>
      <c r="D54" s="28" t="inlineStr"/>
      <c r="E54" s="27" t="inlineStr">
        <is>
          <t>🟡 ⚠️ BAJO</t>
        </is>
      </c>
    </row>
    <row r="55">
      <c r="A55" s="45" t="inlineStr">
        <is>
          <t>2026-03-18</t>
        </is>
      </c>
      <c r="B55" s="46" t="n">
        <v>-4360.92</v>
      </c>
      <c r="C55" s="46" t="n">
        <v>-2185.27</v>
      </c>
      <c r="D55" s="46" t="n">
        <v>7145</v>
      </c>
      <c r="E55" s="47" t="inlineStr">
        <is>
          <t>🔴 ⚠️ EN DESCUBIERTO</t>
        </is>
      </c>
    </row>
    <row r="56">
      <c r="A56" s="45" t="inlineStr">
        <is>
          <t>2026-03-19</t>
        </is>
      </c>
      <c r="B56" s="46" t="n">
        <v>79.98999999999999</v>
      </c>
      <c r="C56" s="46" t="n">
        <v>-2105.28</v>
      </c>
      <c r="D56" s="46" t="n">
        <v>7145</v>
      </c>
      <c r="E56" s="47" t="inlineStr">
        <is>
          <t>🔴 ⚠️ EN DESCUBIERTO</t>
        </is>
      </c>
    </row>
    <row r="57">
      <c r="A57" s="44" t="inlineStr">
        <is>
          <t>2026-03-20</t>
        </is>
      </c>
      <c r="B57" s="28" t="n">
        <v>8679.190000000001</v>
      </c>
      <c r="C57" s="28" t="n">
        <v>6573.91</v>
      </c>
      <c r="D57" s="28" t="inlineStr"/>
      <c r="E57" s="27" t="inlineStr">
        <is>
          <t>🟢 ⚠️ BAJO</t>
        </is>
      </c>
    </row>
    <row r="58">
      <c r="A58" s="44" t="inlineStr">
        <is>
          <t>2026-03-23</t>
        </is>
      </c>
      <c r="B58" s="28" t="n">
        <v>-2859.07</v>
      </c>
      <c r="C58" s="28" t="n">
        <v>3714.84</v>
      </c>
      <c r="D58" s="28" t="inlineStr"/>
      <c r="E58" s="27" t="inlineStr">
        <is>
          <t>🟡 ⚠️ BAJO</t>
        </is>
      </c>
    </row>
    <row r="59">
      <c r="A59" s="44" t="inlineStr">
        <is>
          <t>2026-03-24</t>
        </is>
      </c>
      <c r="B59" s="28" t="n">
        <v>159.98</v>
      </c>
      <c r="C59" s="28" t="n">
        <v>3874.82</v>
      </c>
      <c r="D59" s="28" t="inlineStr"/>
      <c r="E59" s="27" t="inlineStr">
        <is>
          <t>🟡 ⚠️ BAJO</t>
        </is>
      </c>
    </row>
    <row r="60">
      <c r="A60" s="44" t="inlineStr">
        <is>
          <t>2026-03-25</t>
        </is>
      </c>
      <c r="B60" s="28" t="n">
        <v>-3000</v>
      </c>
      <c r="C60" s="28" t="n">
        <v>874.8200000000001</v>
      </c>
      <c r="D60" s="28" t="inlineStr"/>
      <c r="E60" s="27" t="inlineStr">
        <is>
          <t>🟡 ⚠️ BAJO</t>
        </is>
      </c>
    </row>
    <row r="61">
      <c r="A61" s="45" t="inlineStr">
        <is>
          <t>2026-03-26</t>
        </is>
      </c>
      <c r="B61" s="46" t="n">
        <v>-8466.950000000001</v>
      </c>
      <c r="C61" s="46" t="n">
        <v>-7592.13</v>
      </c>
      <c r="D61" s="46" t="n">
        <v>7592.13</v>
      </c>
      <c r="E61" s="47" t="inlineStr">
        <is>
          <t>🔴 ⚠️ EN DESCUBIERTO</t>
        </is>
      </c>
    </row>
    <row r="62">
      <c r="A62" s="44" t="inlineStr">
        <is>
          <t>2026-03-27</t>
        </is>
      </c>
      <c r="B62" s="28" t="n">
        <v>10823.32</v>
      </c>
      <c r="C62" s="28" t="n">
        <v>3231.19</v>
      </c>
      <c r="D62" s="28" t="inlineStr"/>
      <c r="E62" s="27" t="inlineStr">
        <is>
          <t>🟡 ⚠️ BAJO</t>
        </is>
      </c>
    </row>
    <row r="63">
      <c r="A63" s="44" t="inlineStr">
        <is>
          <t>2026-03-30</t>
        </is>
      </c>
      <c r="B63" s="28" t="n">
        <v>-2358.35</v>
      </c>
      <c r="C63" s="28" t="n">
        <v>872.84</v>
      </c>
      <c r="D63" s="28" t="inlineStr"/>
      <c r="E63" s="27" t="inlineStr">
        <is>
          <t>🟡 ⚠️ BAJO</t>
        </is>
      </c>
    </row>
    <row r="65" ht="18" customHeight="1">
      <c r="A65" s="38" t="inlineStr">
        <is>
          <t>📊  RESUMEN FLUJO DE CAJA — DÍAS EN DESCUBIERTO: 9 días sobre 63 días operativos (14.3%)</t>
        </is>
      </c>
    </row>
    <row r="66" ht="18" customHeight="1">
      <c r="A66" s="48" t="inlineStr">
        <is>
          <t>FECHA</t>
        </is>
      </c>
      <c r="B66" s="48" t="inlineStr">
        <is>
          <t>SALDO MÍNIMO</t>
        </is>
      </c>
      <c r="C66" s="48" t="inlineStr">
        <is>
          <t>CAUSA PRINCIPAL</t>
        </is>
      </c>
    </row>
    <row r="67" ht="18" customHeight="1">
      <c r="A67" s="49" t="inlineStr">
        <is>
          <t>27.02.2026</t>
        </is>
      </c>
      <c r="B67" s="50" t="n">
        <v>-1274.56</v>
      </c>
      <c r="C67" s="47" t="inlineStr">
        <is>
          <t>Facturas grandes hitting — CXP de febrero</t>
        </is>
      </c>
    </row>
    <row r="68" ht="18" customHeight="1">
      <c r="A68" s="49" t="inlineStr">
        <is>
          <t>02–05.03.2026</t>
        </is>
      </c>
      <c r="B68" s="50" t="n">
        <v>-7145.25</v>
      </c>
      <c r="C68" s="47" t="inlineStr">
        <is>
          <t>Efecto dominó — saldo tardó 5 días en recuperarse</t>
        </is>
      </c>
    </row>
    <row r="69" ht="18" customHeight="1">
      <c r="A69" s="49" t="inlineStr">
        <is>
          <t>12.03.2026</t>
        </is>
      </c>
      <c r="B69" s="50" t="n">
        <v>-1425.29</v>
      </c>
      <c r="C69" s="47" t="inlineStr">
        <is>
          <t>Pago MQH + outros — descubierto breve</t>
        </is>
      </c>
    </row>
    <row r="70" ht="18" customHeight="1">
      <c r="A70" s="49" t="inlineStr">
        <is>
          <t>18–19.03.2026</t>
        </is>
      </c>
      <c r="B70" s="50" t="n">
        <v>-2185.27</v>
      </c>
      <c r="C70" s="47" t="inlineStr">
        <is>
          <t>Pagos varios acumulativos — proveedor técnico</t>
        </is>
      </c>
    </row>
    <row r="71" ht="18" customHeight="1">
      <c r="A71" s="49" t="inlineStr">
        <is>
          <t>26.03.2026</t>
        </is>
      </c>
      <c r="B71" s="50" t="n">
        <v>-7592.13</v>
      </c>
      <c r="C71" s="47" t="inlineStr">
        <is>
          <t>PEOR DÍA del período — MOVITRANTEL + CXP varios</t>
        </is>
      </c>
    </row>
  </sheetData>
  <mergeCells count="9">
    <mergeCell ref="C66:E66"/>
    <mergeCell ref="A65:E65"/>
    <mergeCell ref="C71:E71"/>
    <mergeCell ref="A2:E2"/>
    <mergeCell ref="C69:E69"/>
    <mergeCell ref="C70:E70"/>
    <mergeCell ref="A1:E1"/>
    <mergeCell ref="C68:E68"/>
    <mergeCell ref="C67:E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8"/>
  <sheetViews>
    <sheetView showGridLines="0" workbookViewId="0">
      <selection activeCell="A1" sqref="A1"/>
    </sheetView>
  </sheetViews>
  <sheetFormatPr baseColWidth="8" defaultRowHeight="15"/>
  <cols>
    <col width="40" customWidth="1" min="1" max="1"/>
    <col width="20" customWidth="1" min="2" max="2"/>
    <col width="10" customWidth="1" min="3" max="3"/>
    <col width="30" customWidth="1" min="4" max="4"/>
  </cols>
  <sheetData>
    <row r="1" ht="26" customHeight="1">
      <c r="A1" s="9" t="inlineStr">
        <is>
          <t>4. POSICIÓN FINANCIERA AL 31.03.2026  (Auditoría Corregida)</t>
        </is>
      </c>
    </row>
    <row r="2">
      <c r="A2" s="10" t="inlineStr">
        <is>
          <t>Posición neta real = Saldo banco + CXP pendiente + CXC pendiente | ⚠️ = partida que requiere acción inmediata</t>
        </is>
      </c>
    </row>
    <row r="4" ht="20" customHeight="1">
      <c r="A4" s="51" t="inlineStr">
        <is>
          <t>1. SALDO BANCO (Volksbank Vorpommern)</t>
        </is>
      </c>
    </row>
    <row r="5" ht="18" customHeight="1">
      <c r="A5" s="11" t="inlineStr">
        <is>
          <t>CONCEPTO</t>
        </is>
      </c>
      <c r="B5" s="11" t="inlineStr">
        <is>
          <t>IMPORTE (€)</t>
        </is>
      </c>
      <c r="C5" s="11" t="inlineStr">
        <is>
          <t>NOTA</t>
        </is>
      </c>
    </row>
    <row r="6">
      <c r="A6" s="21" t="inlineStr">
        <is>
          <t>Saldo al 31.12.2025 (según extracto Nº12/2025)</t>
        </is>
      </c>
      <c r="B6" s="52" t="n">
        <v>-38124.05</v>
      </c>
      <c r="C6" s="22" t="inlineStr">
        <is>
          <t>⚠️ Ya estaba en negativo desde 2025</t>
        </is>
      </c>
      <c r="D6" t="inlineStr"/>
    </row>
    <row r="7">
      <c r="A7" s="21" t="inlineStr">
        <is>
          <t>(+) Movimientos netos Enero 2026</t>
        </is>
      </c>
      <c r="B7" s="53" t="n">
        <v>54520.5</v>
      </c>
      <c r="C7" s="22" t="inlineStr">
        <is>
          <t>OK — Enero fue buen mes</t>
        </is>
      </c>
      <c r="D7" t="inlineStr"/>
    </row>
    <row r="8">
      <c r="A8" s="21" t="inlineStr">
        <is>
          <t>(−) Movimientos netos Febrero 2026</t>
        </is>
      </c>
      <c r="B8" s="52" t="n">
        <v>-55795.06</v>
      </c>
      <c r="C8" s="22" t="inlineStr">
        <is>
          <t>⚠️ Peor mes del período</t>
        </is>
      </c>
      <c r="D8" t="inlineStr"/>
    </row>
    <row r="9">
      <c r="A9" s="21" t="inlineStr">
        <is>
          <t>(+) Movimientos netos Marzo 2026</t>
        </is>
      </c>
      <c r="B9" s="53" t="n">
        <v>2147.4</v>
      </c>
      <c r="C9" s="22" t="inlineStr">
        <is>
          <t>Marzo recupera parcialmente</t>
        </is>
      </c>
      <c r="D9" t="inlineStr"/>
    </row>
    <row r="10">
      <c r="A10" s="54" t="inlineStr">
        <is>
          <t>SALDO ESTIMADO AL 31.03.2026</t>
        </is>
      </c>
      <c r="B10" s="50" t="n">
        <v>-37251.21</v>
      </c>
      <c r="C10" s="55" t="inlineStr">
        <is>
          <t>🔴 EN DESCUBIERTO — Necesita acción urgente</t>
        </is>
      </c>
      <c r="D10" t="inlineStr"/>
    </row>
    <row r="12" ht="20" customHeight="1">
      <c r="A12" s="51" t="inlineStr">
        <is>
          <t>2. CUENTAS POR PAGAR (CXP) — Facturas pendientes de pago</t>
        </is>
      </c>
    </row>
    <row r="13" ht="18" customHeight="1">
      <c r="A13" s="11" t="inlineStr">
        <is>
          <t>PROVEEDOR / CONCEPTO</t>
        </is>
      </c>
      <c r="B13" s="11" t="inlineStr">
        <is>
          <t>FECHA</t>
        </is>
      </c>
      <c r="C13" s="11" t="inlineStr">
        <is>
          <t>IMPORTE (€)</t>
        </is>
      </c>
      <c r="D13" s="11" t="inlineStr">
        <is>
          <t>NOTA</t>
        </is>
      </c>
    </row>
    <row r="14">
      <c r="A14" s="56" t="inlineStr">
        <is>
          <t>Barmer (Feb — cuota 1)</t>
        </is>
      </c>
      <c r="B14" s="57" t="inlineStr">
        <is>
          <t>27.02.2026</t>
        </is>
      </c>
      <c r="C14" s="58" t="n">
        <v>-6651.39</v>
      </c>
      <c r="D14" s="59" t="inlineStr">
        <is>
          <t>⚠️ Seguro social — urgente</t>
        </is>
      </c>
    </row>
    <row r="15">
      <c r="A15" s="56" t="inlineStr">
        <is>
          <t>Barmer (Feb — cuota 2)</t>
        </is>
      </c>
      <c r="B15" s="57" t="inlineStr">
        <is>
          <t>28.02.2026</t>
        </is>
      </c>
      <c r="C15" s="58" t="n">
        <v>-6484.08</v>
      </c>
      <c r="D15" s="59" t="inlineStr">
        <is>
          <t>⚠️ Seguro social — urgente</t>
        </is>
      </c>
    </row>
    <row r="16">
      <c r="A16" s="56" t="inlineStr">
        <is>
          <t>Jordi Moran — Fact. 2026/002</t>
        </is>
      </c>
      <c r="B16" s="57" t="inlineStr">
        <is>
          <t>20.02.2026</t>
        </is>
      </c>
      <c r="C16" s="58" t="n">
        <v>-4750</v>
      </c>
      <c r="D16" s="59" t="inlineStr">
        <is>
          <t>⚠️ Subcontratista</t>
        </is>
      </c>
    </row>
    <row r="17">
      <c r="A17" s="56" t="inlineStr">
        <is>
          <t>MQH Nº 10 ⚠️ FALTA EN FINCONTROL</t>
        </is>
      </c>
      <c r="B17" s="57" t="inlineStr">
        <is>
          <t>24.03.2026</t>
        </is>
      </c>
      <c r="C17" s="58" t="n">
        <v>-4950</v>
      </c>
      <c r="D17" s="59" t="inlineStr">
        <is>
          <t>🔴 Registrar inmediatamente</t>
        </is>
      </c>
    </row>
    <row r="18">
      <c r="A18" s="56" t="inlineStr">
        <is>
          <t>Contabilidad 2025</t>
        </is>
      </c>
      <c r="B18" s="57" t="inlineStr">
        <is>
          <t>16.03.2026</t>
        </is>
      </c>
      <c r="C18" s="58" t="n">
        <v>-4672.42</v>
      </c>
      <c r="D18" s="59" t="inlineStr">
        <is>
          <t>⚠️ Asesoría</t>
        </is>
      </c>
    </row>
    <row r="19">
      <c r="A19" s="21" t="inlineStr">
        <is>
          <t>Michel Matos — 2026/004</t>
        </is>
      </c>
      <c r="B19" s="60" t="inlineStr">
        <is>
          <t>28.03.2026</t>
        </is>
      </c>
      <c r="C19" s="53" t="n">
        <v>-2961.5</v>
      </c>
      <c r="D19" s="22" t="inlineStr">
        <is>
          <t>Nómina</t>
        </is>
      </c>
    </row>
    <row r="20">
      <c r="A20" s="21" t="inlineStr">
        <is>
          <t>Joseph Matos — 2026/04</t>
        </is>
      </c>
      <c r="B20" s="60" t="inlineStr">
        <is>
          <t>28.03.2026</t>
        </is>
      </c>
      <c r="C20" s="53" t="n">
        <v>-2961.5</v>
      </c>
      <c r="D20" s="22" t="inlineStr">
        <is>
          <t>Nómina</t>
        </is>
      </c>
    </row>
    <row r="21">
      <c r="A21" s="21" t="inlineStr">
        <is>
          <t>Alejandro Herrera (Feb)</t>
        </is>
      </c>
      <c r="B21" s="60" t="inlineStr">
        <is>
          <t>27.02.2026</t>
        </is>
      </c>
      <c r="C21" s="53" t="n">
        <v>-2287.12</v>
      </c>
      <c r="D21" s="22" t="inlineStr">
        <is>
          <t>Nómina Feb</t>
        </is>
      </c>
    </row>
    <row r="22">
      <c r="A22" s="21" t="inlineStr">
        <is>
          <t>Alexander Herrera (Feb)</t>
        </is>
      </c>
      <c r="B22" s="60" t="inlineStr">
        <is>
          <t>27.02.2026</t>
        </is>
      </c>
      <c r="C22" s="53" t="n">
        <v>-1914.6</v>
      </c>
      <c r="D22" s="22" t="inlineStr">
        <is>
          <t>Nómina Feb</t>
        </is>
      </c>
    </row>
    <row r="23">
      <c r="A23" s="21" t="inlineStr">
        <is>
          <t>Juan Lesmes Correa (Feb)</t>
        </is>
      </c>
      <c r="B23" s="60" t="inlineStr">
        <is>
          <t>27.02.2026</t>
        </is>
      </c>
      <c r="C23" s="53" t="n">
        <v>-2006.41</v>
      </c>
      <c r="D23" s="22" t="inlineStr">
        <is>
          <t>Nómina Feb</t>
        </is>
      </c>
    </row>
    <row r="24">
      <c r="A24" s="21" t="inlineStr">
        <is>
          <t>Beatriz Sandoval (Feb)</t>
        </is>
      </c>
      <c r="B24" s="60" t="inlineStr">
        <is>
          <t>27.02.2026</t>
        </is>
      </c>
      <c r="C24" s="53" t="n">
        <v>-1731.31</v>
      </c>
      <c r="D24" s="22" t="inlineStr">
        <is>
          <t>Nómina Feb</t>
        </is>
      </c>
    </row>
    <row r="25">
      <c r="A25" s="56" t="inlineStr">
        <is>
          <t>MOVITRANTEL 115 (resto)</t>
        </is>
      </c>
      <c r="B25" s="57" t="inlineStr">
        <is>
          <t>23.03.2026</t>
        </is>
      </c>
      <c r="C25" s="58" t="n">
        <v>-5000</v>
      </c>
      <c r="D25" s="59" t="inlineStr">
        <is>
          <t>⚠️ Factura grande</t>
        </is>
      </c>
    </row>
    <row r="26">
      <c r="A26" s="21" t="inlineStr">
        <is>
          <t>Gestoría — Enero</t>
        </is>
      </c>
      <c r="B26" s="60" t="inlineStr">
        <is>
          <t>16.03.2026</t>
        </is>
      </c>
      <c r="C26" s="53" t="n">
        <v>-837.28</v>
      </c>
      <c r="D26" s="22" t="inlineStr">
        <is>
          <t>Asesoría</t>
        </is>
      </c>
    </row>
    <row r="27">
      <c r="A27" s="21" t="inlineStr">
        <is>
          <t>Würth — material</t>
        </is>
      </c>
      <c r="B27" s="60" t="inlineStr">
        <is>
          <t>24.03.2026</t>
        </is>
      </c>
      <c r="C27" s="53" t="n">
        <v>-226.36</v>
      </c>
      <c r="D27" s="22" t="inlineStr">
        <is>
          <t>Menor</t>
        </is>
      </c>
    </row>
    <row r="28">
      <c r="A28" s="21" t="inlineStr">
        <is>
          <t>Reparación Fusionadora</t>
        </is>
      </c>
      <c r="B28" s="60" t="inlineStr">
        <is>
          <t>17.03.2026</t>
        </is>
      </c>
      <c r="C28" s="53" t="n">
        <v>-315</v>
      </c>
      <c r="D28" s="22" t="inlineStr">
        <is>
          <t>Menor</t>
        </is>
      </c>
    </row>
    <row r="29">
      <c r="A29" s="21" t="inlineStr">
        <is>
          <t>Finanzamt — IVA Enero</t>
        </is>
      </c>
      <c r="B29" s="60" t="inlineStr">
        <is>
          <t>18.03.2026</t>
        </is>
      </c>
      <c r="C29" s="53" t="n">
        <v>-212.5</v>
      </c>
      <c r="D29" s="22" t="inlineStr">
        <is>
          <t>Fiscal</t>
        </is>
      </c>
    </row>
    <row r="30">
      <c r="A30" s="21" t="inlineStr">
        <is>
          <t>Kit Fusionadora Andrés</t>
        </is>
      </c>
      <c r="B30" s="60" t="inlineStr">
        <is>
          <t>17.03.2026</t>
        </is>
      </c>
      <c r="C30" s="53" t="n">
        <v>-1530</v>
      </c>
      <c r="D30" s="22" t="inlineStr">
        <is>
          <t>Herramienta</t>
        </is>
      </c>
    </row>
    <row r="31">
      <c r="A31" s="21" t="inlineStr">
        <is>
          <t>MQH Nº 7 (resto)</t>
        </is>
      </c>
      <c r="B31" s="60" t="inlineStr">
        <is>
          <t>23.02.2026</t>
        </is>
      </c>
      <c r="C31" s="53" t="n">
        <v>-560</v>
      </c>
      <c r="D31" s="22" t="inlineStr">
        <is>
          <t>Ya pagado €3.500 de €4.060</t>
        </is>
      </c>
    </row>
    <row r="32" ht="20" customHeight="1">
      <c r="A32" s="61" t="inlineStr">
        <is>
          <t>TOTAL CXP CORRIENTE</t>
        </is>
      </c>
      <c r="B32" s="62" t="inlineStr"/>
      <c r="C32" s="36" t="n">
        <v>-50051.47</v>
      </c>
      <c r="D32" s="62" t="inlineStr"/>
    </row>
    <row r="33" ht="18" customHeight="1">
      <c r="A33" s="63" t="inlineStr">
        <is>
          <t>+ Compromisos futuros (Abr–May)</t>
        </is>
      </c>
      <c r="B33" s="64" t="n"/>
      <c r="C33" s="65" t="n">
        <v>-6544.97</v>
      </c>
      <c r="D33" s="63" t="inlineStr">
        <is>
          <t>Seguros Trafic + Renault + BG ETEM</t>
        </is>
      </c>
    </row>
    <row r="35" ht="20" customHeight="1">
      <c r="A35" s="51" t="inlineStr">
        <is>
          <t>3. CUENTAS POR COBRAR (CXC) — Facturas emitidas pendientes de cobro</t>
        </is>
      </c>
    </row>
    <row r="36" ht="18" customHeight="1">
      <c r="A36" s="11" t="inlineStr">
        <is>
          <t>CLIENTE / FACTURA</t>
        </is>
      </c>
      <c r="B36" s="11" t="inlineStr">
        <is>
          <t>FECHA</t>
        </is>
      </c>
      <c r="C36" s="11" t="inlineStr">
        <is>
          <t>IMPORTE (€)</t>
        </is>
      </c>
      <c r="D36" s="11" t="inlineStr">
        <is>
          <t>NOTA</t>
        </is>
      </c>
    </row>
    <row r="37">
      <c r="A37" s="43" t="inlineStr">
        <is>
          <t>Insyte — 0026019061</t>
        </is>
      </c>
      <c r="B37" s="66" t="inlineStr">
        <is>
          <t>31.03.2026</t>
        </is>
      </c>
      <c r="C37" s="67" t="n">
        <v>6741.6</v>
      </c>
      <c r="D37" s="68" t="inlineStr">
        <is>
          <t>✓ Factura reciente</t>
        </is>
      </c>
    </row>
    <row r="38">
      <c r="A38" s="43" t="inlineStr">
        <is>
          <t>Insyte — 0026018471</t>
        </is>
      </c>
      <c r="B38" s="66" t="inlineStr">
        <is>
          <t>26.03.2026</t>
        </is>
      </c>
      <c r="C38" s="67" t="n">
        <v>5821.2</v>
      </c>
      <c r="D38" s="68" t="inlineStr">
        <is>
          <t>✓ Grande</t>
        </is>
      </c>
    </row>
    <row r="39">
      <c r="A39" s="43" t="inlineStr">
        <is>
          <t>Insyte — 0026018725</t>
        </is>
      </c>
      <c r="B39" s="66" t="inlineStr">
        <is>
          <t>28.03.2026</t>
        </is>
      </c>
      <c r="C39" s="67" t="n">
        <v>4230</v>
      </c>
      <c r="D39" s="68" t="inlineStr">
        <is>
          <t>✓</t>
        </is>
      </c>
    </row>
    <row r="40">
      <c r="A40" s="43" t="inlineStr">
        <is>
          <t>Insyte — 0026018726</t>
        </is>
      </c>
      <c r="B40" s="66" t="inlineStr">
        <is>
          <t>28.03.2026</t>
        </is>
      </c>
      <c r="C40" s="67" t="n">
        <v>3900</v>
      </c>
      <c r="D40" s="68" t="inlineStr">
        <is>
          <t>✓</t>
        </is>
      </c>
    </row>
    <row r="41">
      <c r="A41" s="43" t="inlineStr">
        <is>
          <t>Insyte — 0026018727</t>
        </is>
      </c>
      <c r="B41" s="66" t="inlineStr">
        <is>
          <t>28.03.2026</t>
        </is>
      </c>
      <c r="C41" s="67" t="n">
        <v>1705</v>
      </c>
      <c r="D41" s="68" t="inlineStr">
        <is>
          <t>✓</t>
        </is>
      </c>
    </row>
    <row r="42">
      <c r="A42" s="43" t="inlineStr">
        <is>
          <t>Insyte — 0026019059</t>
        </is>
      </c>
      <c r="B42" s="66" t="inlineStr">
        <is>
          <t>31.03.2026</t>
        </is>
      </c>
      <c r="C42" s="67" t="n">
        <v>1675.8</v>
      </c>
      <c r="D42" s="68" t="inlineStr">
        <is>
          <t>✓</t>
        </is>
      </c>
    </row>
    <row r="43">
      <c r="A43" s="43" t="inlineStr">
        <is>
          <t>Insyte — 0026019060</t>
        </is>
      </c>
      <c r="B43" s="66" t="inlineStr">
        <is>
          <t>31.03.2026</t>
        </is>
      </c>
      <c r="C43" s="67" t="n">
        <v>2232.6</v>
      </c>
      <c r="D43" s="68" t="inlineStr">
        <is>
          <t>✓</t>
        </is>
      </c>
    </row>
    <row r="44">
      <c r="A44" s="43" t="inlineStr">
        <is>
          <t>Insyte — 0026018477</t>
        </is>
      </c>
      <c r="B44" s="66" t="inlineStr">
        <is>
          <t>26.03.2026</t>
        </is>
      </c>
      <c r="C44" s="67" t="n">
        <v>2493</v>
      </c>
      <c r="D44" s="68" t="inlineStr">
        <is>
          <t>✓</t>
        </is>
      </c>
    </row>
    <row r="45">
      <c r="A45" s="43" t="inlineStr">
        <is>
          <t>Insyte — 0026018336</t>
        </is>
      </c>
      <c r="B45" s="66" t="inlineStr">
        <is>
          <t>26.03.2026</t>
        </is>
      </c>
      <c r="C45" s="67" t="n">
        <v>2484</v>
      </c>
      <c r="D45" s="68" t="inlineStr">
        <is>
          <t>✓</t>
        </is>
      </c>
    </row>
    <row r="46">
      <c r="A46" s="43" t="inlineStr">
        <is>
          <t>Insyte — 0026018473</t>
        </is>
      </c>
      <c r="B46" s="66" t="inlineStr">
        <is>
          <t>26.03.2026</t>
        </is>
      </c>
      <c r="C46" s="67" t="n">
        <v>2150.4</v>
      </c>
      <c r="D46" s="68" t="inlineStr">
        <is>
          <t>✓</t>
        </is>
      </c>
    </row>
    <row r="47">
      <c r="A47" s="43" t="inlineStr">
        <is>
          <t>Insyte — 0026018470</t>
        </is>
      </c>
      <c r="B47" s="66" t="inlineStr">
        <is>
          <t>26.03.2026</t>
        </is>
      </c>
      <c r="C47" s="67" t="n">
        <v>1365</v>
      </c>
      <c r="D47" s="68" t="inlineStr">
        <is>
          <t>✓</t>
        </is>
      </c>
    </row>
    <row r="48">
      <c r="A48" s="43" t="inlineStr">
        <is>
          <t>Insyte — 0026018472</t>
        </is>
      </c>
      <c r="B48" s="66" t="inlineStr">
        <is>
          <t>26.03.2026</t>
        </is>
      </c>
      <c r="C48" s="67" t="n">
        <v>1383</v>
      </c>
      <c r="D48" s="68" t="inlineStr">
        <is>
          <t>✓</t>
        </is>
      </c>
    </row>
    <row r="49">
      <c r="A49" s="43" t="inlineStr">
        <is>
          <t>Insyte — 0026018475</t>
        </is>
      </c>
      <c r="B49" s="66" t="inlineStr">
        <is>
          <t>26.03.2026</t>
        </is>
      </c>
      <c r="C49" s="67" t="n">
        <v>819</v>
      </c>
      <c r="D49" s="68" t="inlineStr">
        <is>
          <t>✓</t>
        </is>
      </c>
    </row>
    <row r="50">
      <c r="A50" s="43" t="inlineStr">
        <is>
          <t>Insyte — 0026019063</t>
        </is>
      </c>
      <c r="B50" s="66" t="inlineStr">
        <is>
          <t>31.03.2026</t>
        </is>
      </c>
      <c r="C50" s="67" t="n">
        <v>819</v>
      </c>
      <c r="D50" s="68" t="inlineStr">
        <is>
          <t>✓</t>
        </is>
      </c>
    </row>
    <row r="51">
      <c r="A51" s="43" t="inlineStr">
        <is>
          <t>Insyte — 0026019056</t>
        </is>
      </c>
      <c r="B51" s="66" t="inlineStr">
        <is>
          <t>31.03.2026</t>
        </is>
      </c>
      <c r="C51" s="67" t="n">
        <v>867</v>
      </c>
      <c r="D51" s="68" t="inlineStr">
        <is>
          <t>✓</t>
        </is>
      </c>
    </row>
    <row r="52">
      <c r="A52" s="43" t="inlineStr">
        <is>
          <t>Insyte — 0026019058</t>
        </is>
      </c>
      <c r="B52" s="66" t="inlineStr">
        <is>
          <t>31.03.2026</t>
        </is>
      </c>
      <c r="C52" s="67" t="n">
        <v>933</v>
      </c>
      <c r="D52" s="68" t="inlineStr">
        <is>
          <t>✓</t>
        </is>
      </c>
    </row>
    <row r="53">
      <c r="A53" s="43" t="inlineStr">
        <is>
          <t>Insyte — 0026018333</t>
        </is>
      </c>
      <c r="B53" s="66" t="inlineStr">
        <is>
          <t>26.03.2026</t>
        </is>
      </c>
      <c r="C53" s="67" t="n">
        <v>460</v>
      </c>
      <c r="D53" s="68" t="inlineStr">
        <is>
          <t>✓</t>
        </is>
      </c>
    </row>
    <row r="54">
      <c r="A54" s="43" t="inlineStr">
        <is>
          <t>Insyte — 0026018332</t>
        </is>
      </c>
      <c r="B54" s="66" t="inlineStr">
        <is>
          <t>26.03.2026</t>
        </is>
      </c>
      <c r="C54" s="67" t="n">
        <v>460</v>
      </c>
      <c r="D54" s="68" t="inlineStr">
        <is>
          <t>✓</t>
        </is>
      </c>
    </row>
    <row r="55">
      <c r="A55" s="43" t="inlineStr">
        <is>
          <t>Insyte — 0026018474</t>
        </is>
      </c>
      <c r="B55" s="66" t="inlineStr">
        <is>
          <t>26.03.2026</t>
        </is>
      </c>
      <c r="C55" s="67" t="n">
        <v>354</v>
      </c>
      <c r="D55" s="68" t="inlineStr">
        <is>
          <t>✓</t>
        </is>
      </c>
    </row>
    <row r="56">
      <c r="A56" s="43" t="inlineStr">
        <is>
          <t>KW07 NE4 Buer-Burtonstr.</t>
        </is>
      </c>
      <c r="B56" s="66" t="inlineStr">
        <is>
          <t>29.03.2026</t>
        </is>
      </c>
      <c r="C56" s="67" t="n">
        <v>2184</v>
      </c>
      <c r="D56" s="68" t="inlineStr">
        <is>
          <t>✓</t>
        </is>
      </c>
    </row>
    <row r="57">
      <c r="A57" s="43" t="inlineStr">
        <is>
          <t>Clientes pequeños (devoluc.)</t>
        </is>
      </c>
      <c r="B57" s="66" t="inlineStr">
        <is>
          <t>18.03.2026</t>
        </is>
      </c>
      <c r="C57" s="67" t="n">
        <v>537.76</v>
      </c>
      <c r="D57" s="68" t="inlineStr">
        <is>
          <t>✓</t>
        </is>
      </c>
    </row>
    <row r="58" ht="20" customHeight="1">
      <c r="A58" s="69" t="inlineStr">
        <is>
          <t>TOTAL CXC</t>
        </is>
      </c>
      <c r="B58" s="70" t="inlineStr"/>
      <c r="C58" s="71" t="n">
        <v>43615.36</v>
      </c>
      <c r="D58" s="70" t="inlineStr"/>
    </row>
    <row r="60" ht="20" customHeight="1">
      <c r="A60" s="51" t="inlineStr">
        <is>
          <t>4. RESUMEN — POSICIÓN NETA</t>
        </is>
      </c>
    </row>
    <row r="61" ht="18" customHeight="1">
      <c r="A61" s="19" t="inlineStr">
        <is>
          <t>CONCEPTO</t>
        </is>
      </c>
      <c r="B61" s="19" t="inlineStr">
        <is>
          <t>IMPORTE (€)</t>
        </is>
      </c>
      <c r="C61" s="19" t="inlineStr"/>
    </row>
    <row r="62" ht="20" customHeight="1">
      <c r="A62" s="72" t="inlineStr">
        <is>
          <t>Saldo banco estimado 31.03.2026</t>
        </is>
      </c>
      <c r="B62" s="73" t="n">
        <v>-37251.21</v>
      </c>
      <c r="C62" s="74" t="inlineStr"/>
      <c r="D62" s="74" t="inlineStr"/>
    </row>
    <row r="63" ht="20" customHeight="1">
      <c r="A63" s="72" t="inlineStr">
        <is>
          <t>(−) CXP corriente (-€53.051) + compromisos (-€6.545)</t>
        </is>
      </c>
      <c r="B63" s="73" t="n">
        <v>-59608.14</v>
      </c>
      <c r="C63" s="74" t="inlineStr"/>
      <c r="D63" s="74" t="inlineStr"/>
    </row>
    <row r="64" ht="20" customHeight="1">
      <c r="A64" s="75" t="inlineStr">
        <is>
          <t>(+) CXC por cobrar (Insyte + otros)</t>
        </is>
      </c>
      <c r="B64" s="67" t="n">
        <v>44761.16</v>
      </c>
      <c r="C64" s="76" t="inlineStr"/>
      <c r="D64" s="76" t="inlineStr"/>
    </row>
    <row r="65" ht="20" customHeight="1">
      <c r="A65" s="77" t="inlineStr">
        <is>
          <t>POSICIÓN NETA REAL (descontando CXP y CXC)</t>
        </is>
      </c>
      <c r="B65" s="78" t="n">
        <v>-52110.19</v>
      </c>
      <c r="C65" s="79" t="inlineStr"/>
      <c r="D65" s="79" t="inlineStr"/>
    </row>
    <row r="66" ht="20" customHeight="1">
      <c r="A66" s="72" t="inlineStr">
        <is>
          <t xml:space="preserve">  Posición NETA si se cobra TODO de Insyte</t>
        </is>
      </c>
      <c r="B66" s="73" t="n">
        <v>-10290.36</v>
      </c>
      <c r="C66" s="74" t="inlineStr"/>
      <c r="D66" s="74" t="inlineStr"/>
    </row>
    <row r="68" ht="60" customHeight="1">
      <c r="A68" s="80" t="inlineStr">
        <is>
          <t>⚠️  ACCIÓN CRÍTICA: La posición neta real es de -€52.110,19. Esto significa que aunque cobrara TODAS las facturas pendientes de Insyte, aún tendría un déficit de -€10.290. La empresa necesita: (1) Cobrar inmediatamente las facturas de Insyte. (2) Renegociar plazos de pago con proveedores. (3) Solicitar línea de crédito o anticipo bancario.</t>
        </is>
      </c>
    </row>
  </sheetData>
  <mergeCells count="8">
    <mergeCell ref="A1:D1"/>
    <mergeCell ref="A12:D12"/>
    <mergeCell ref="A4:D4"/>
    <mergeCell ref="A35:D35"/>
    <mergeCell ref="D33"/>
    <mergeCell ref="A2:D2"/>
    <mergeCell ref="A60:D60"/>
    <mergeCell ref="A68:D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35" customWidth="1" min="1" max="1"/>
    <col width="20" customWidth="1" min="2" max="2"/>
    <col width="18" customWidth="1" min="3" max="3"/>
    <col width="45" customWidth="1" min="4" max="4"/>
  </cols>
  <sheetData>
    <row r="1" ht="26" customHeight="1">
      <c r="A1" s="9" t="inlineStr">
        <is>
          <t>5. KPIs FINANCIEROS Y RATIOS — UMTELKOMD Q1 2026</t>
        </is>
      </c>
    </row>
    <row r="3" ht="20" customHeight="1">
      <c r="A3" s="11" t="inlineStr">
        <is>
          <t>INDICADOR</t>
        </is>
      </c>
      <c r="B3" s="11" t="inlineStr">
        <is>
          <t>VALOR</t>
        </is>
      </c>
      <c r="C3" s="11" t="inlineStr">
        <is>
          <t>EVALUACIÓN</t>
        </is>
      </c>
      <c r="D3" s="11" t="inlineStr">
        <is>
          <t>REFERENCIA / META</t>
        </is>
      </c>
    </row>
    <row r="4" ht="18" customHeight="1">
      <c r="A4" s="54" t="inlineStr">
        <is>
          <t>RESULTADO NETO Q1</t>
        </is>
      </c>
      <c r="B4" s="24" t="inlineStr">
        <is>
          <t>€ 872,84</t>
        </is>
      </c>
      <c r="C4" s="47" t="inlineStr">
        <is>
          <t>🔴 Crítico</t>
        </is>
      </c>
      <c r="D4" s="81" t="inlineStr">
        <is>
          <t>Margen 0,28% — prácticamente breakeven</t>
        </is>
      </c>
    </row>
    <row r="5" ht="18" customHeight="1">
      <c r="A5" s="82" t="inlineStr">
        <is>
          <t>Ingresos operativos Q1</t>
        </is>
      </c>
      <c r="B5" s="43" t="inlineStr">
        <is>
          <t>€ 310.448,40</t>
        </is>
      </c>
      <c r="C5" s="83" t="inlineStr">
        <is>
          <t>🟢 Bueno</t>
        </is>
      </c>
      <c r="D5" s="68" t="inlineStr">
        <is>
          <t>€103K/mes promedio</t>
        </is>
      </c>
    </row>
    <row r="6" ht="18" customHeight="1">
      <c r="A6" s="56" t="inlineStr">
        <is>
          <t>Gastos operativos Q1</t>
        </is>
      </c>
      <c r="B6" s="27" t="inlineStr">
        <is>
          <t>€ 309.575,56</t>
        </is>
      </c>
      <c r="C6" s="84" t="inlineStr">
        <is>
          <t>🟡 Alerta</t>
        </is>
      </c>
      <c r="D6" s="85" t="inlineStr">
        <is>
          <t>€103K/mes — muy cerca de ingresos</t>
        </is>
      </c>
    </row>
    <row r="7" ht="18" customHeight="1">
      <c r="A7" s="54" t="inlineStr">
        <is>
          <t>Margen operativo</t>
        </is>
      </c>
      <c r="B7" s="24" t="inlineStr">
        <is>
          <t>0,28%</t>
        </is>
      </c>
      <c r="C7" s="47" t="inlineStr">
        <is>
          <t>🔴 Crítico</t>
        </is>
      </c>
      <c r="D7" s="81" t="inlineStr">
        <is>
          <t>Meta: &gt;10% para ser sostenible</t>
        </is>
      </c>
    </row>
    <row r="8" ht="18" customHeight="1">
      <c r="A8" s="54" t="inlineStr">
        <is>
          <t>Saldo banco al 31.03</t>
        </is>
      </c>
      <c r="B8" s="24" t="inlineStr">
        <is>
          <t>-€ 37.251,21</t>
        </is>
      </c>
      <c r="C8" s="47" t="inlineStr">
        <is>
          <t>🔴 Crítico</t>
        </is>
      </c>
      <c r="D8" s="81" t="inlineStr">
        <is>
          <t>En descubrimiento desde dic-2025</t>
        </is>
      </c>
    </row>
    <row r="9" ht="18" customHeight="1">
      <c r="A9" s="54" t="inlineStr">
        <is>
          <t>CXP total pendiente</t>
        </is>
      </c>
      <c r="B9" s="24" t="inlineStr">
        <is>
          <t>€ 53.051,47</t>
        </is>
      </c>
      <c r="C9" s="47" t="inlineStr">
        <is>
          <t>🔴 Crítico</t>
        </is>
      </c>
      <c r="D9" s="81" t="inlineStr">
        <is>
          <t>Supera CXC en €8.290</t>
        </is>
      </c>
    </row>
    <row r="10" ht="18" customHeight="1">
      <c r="A10" s="56" t="inlineStr">
        <is>
          <t>CXC total pendiente</t>
        </is>
      </c>
      <c r="B10" s="27" t="inlineStr">
        <is>
          <t>€ 44.761,16</t>
        </is>
      </c>
      <c r="C10" s="84" t="inlineStr">
        <is>
          <t>🟡 Vigilar</t>
        </is>
      </c>
      <c r="D10" s="85" t="inlineStr">
        <is>
          <t>Concentrado en Insyte (~90%)</t>
        </is>
      </c>
    </row>
    <row r="11" ht="18" customHeight="1">
      <c r="A11" s="54" t="inlineStr">
        <is>
          <t>Posición neta real</t>
        </is>
      </c>
      <c r="B11" s="24" t="inlineStr">
        <is>
          <t>-€ 52.110,19</t>
        </is>
      </c>
      <c r="C11" s="47" t="inlineStr">
        <is>
          <t>🔴 Crítico</t>
        </is>
      </c>
      <c r="D11" s="81" t="inlineStr">
        <is>
          <t>Necesita intervención inmediata</t>
        </is>
      </c>
    </row>
    <row r="12" ht="18" customHeight="1">
      <c r="A12" s="54" t="inlineStr">
        <is>
          <t>Días en descubierto</t>
        </is>
      </c>
      <c r="B12" s="24" t="inlineStr">
        <is>
          <t>9 de 63 días (14,3%)</t>
        </is>
      </c>
      <c r="C12" s="47" t="inlineStr">
        <is>
          <t>🔴 Alerta</t>
        </is>
      </c>
      <c r="D12" s="81" t="inlineStr">
        <is>
          <t>Cada día en rojo cuesta ~€15-30</t>
        </is>
      </c>
    </row>
    <row r="13" ht="18" customHeight="1">
      <c r="A13" s="54" t="inlineStr">
        <is>
          <t>Peor día (26.03)</t>
        </is>
      </c>
      <c r="B13" s="24" t="inlineStr">
        <is>
          <t>-€ 7.592,13</t>
        </is>
      </c>
      <c r="C13" s="47" t="inlineStr">
        <is>
          <t>🔴 Crítico</t>
        </is>
      </c>
      <c r="D13" s="81" t="inlineStr">
        <is>
          <t>Necesitaría €7.592 de crédito para cubrir</t>
        </is>
      </c>
    </row>
    <row r="14" ht="18" customHeight="1">
      <c r="A14" s="82" t="inlineStr">
        <is>
          <t>Ingresos Ene</t>
        </is>
      </c>
      <c r="B14" s="43" t="inlineStr">
        <is>
          <t>€ 143.711,44</t>
        </is>
      </c>
      <c r="C14" s="83" t="inlineStr">
        <is>
          <t>🟢 Muy bien</t>
        </is>
      </c>
      <c r="D14" s="68" t="inlineStr">
        <is>
          <t>Mejor mes del trimestre</t>
        </is>
      </c>
    </row>
    <row r="15" ht="18" customHeight="1">
      <c r="A15" s="56" t="inlineStr">
        <is>
          <t>Ingresos Feb</t>
        </is>
      </c>
      <c r="B15" s="27" t="inlineStr">
        <is>
          <t>€ 109.734,39</t>
        </is>
      </c>
      <c r="C15" s="84" t="inlineStr">
        <is>
          <t>🟡 Atención</t>
        </is>
      </c>
      <c r="D15" s="85" t="inlineStr">
        <is>
          <t>-23,6% vs Enero</t>
        </is>
      </c>
    </row>
    <row r="16" ht="18" customHeight="1">
      <c r="A16" s="54" t="inlineStr">
        <is>
          <t>Ingresos Mar</t>
        </is>
      </c>
      <c r="B16" s="24" t="inlineStr">
        <is>
          <t>€ 57.002,57</t>
        </is>
      </c>
      <c r="C16" s="47" t="inlineStr">
        <is>
          <t>🔴 Alerta</t>
        </is>
      </c>
      <c r="D16" s="81" t="inlineStr">
        <is>
          <t>-48,1% vs Febrero</t>
        </is>
      </c>
    </row>
    <row r="17" ht="18" customHeight="1">
      <c r="A17" s="54" t="inlineStr">
        <is>
          <t>Gastos Feb (mes peor)</t>
        </is>
      </c>
      <c r="B17" s="24" t="inlineStr">
        <is>
          <t>€ 165.529,45</t>
        </is>
      </c>
      <c r="C17" s="47" t="inlineStr">
        <is>
          <t>🔴 Alerta</t>
        </is>
      </c>
      <c r="D17" s="81" t="inlineStr">
        <is>
          <t>Impuestos excepcionales de €58.046</t>
        </is>
      </c>
    </row>
    <row r="18" ht="18" customHeight="1">
      <c r="A18" s="56" t="inlineStr">
        <is>
          <t>Impuestos Q1</t>
        </is>
      </c>
      <c r="B18" s="27" t="inlineStr">
        <is>
          <t>€ 63.230,73 (20,4%)</t>
        </is>
      </c>
      <c r="C18" s="84" t="inlineStr">
        <is>
          <t>🟡 Estacional</t>
        </is>
      </c>
      <c r="D18" s="85" t="inlineStr">
        <is>
          <t>Febrero fue mes fiscal pesado</t>
        </is>
      </c>
    </row>
    <row r="19" ht="18" customHeight="1">
      <c r="A19" s="56" t="inlineStr">
        <is>
          <t>Subcontratistas Q1</t>
        </is>
      </c>
      <c r="B19" s="27" t="inlineStr">
        <is>
          <t>€ 62.955,97 (20,3%)</t>
        </is>
      </c>
      <c r="C19" s="84" t="inlineStr">
        <is>
          <t>🟡 Variable</t>
        </is>
      </c>
      <c r="D19" s="85" t="inlineStr">
        <is>
          <t>Depende de volumen de proyectos</t>
        </is>
      </c>
    </row>
    <row r="20" ht="18" customHeight="1">
      <c r="A20" s="56" t="inlineStr">
        <is>
          <t>Nóminas + SS Q1</t>
        </is>
      </c>
      <c r="B20" s="27" t="inlineStr">
        <is>
          <t>€ 86.054,30 (27,8%)</t>
        </is>
      </c>
      <c r="C20" s="84" t="inlineStr">
        <is>
          <t>🟡 Fijo alto</t>
        </is>
      </c>
      <c r="D20" s="85" t="inlineStr">
        <is>
          <t>Mayor bloque de gasto — vigilar</t>
        </is>
      </c>
    </row>
    <row r="21" ht="18" customHeight="1">
      <c r="A21" s="54" t="inlineStr">
        <is>
          <t>Concentración ingresos</t>
        </is>
      </c>
      <c r="B21" s="24" t="inlineStr">
        <is>
          <t>~75% Insyte</t>
        </is>
      </c>
      <c r="C21" s="47" t="inlineStr">
        <is>
          <t>🔴 Riesgo</t>
        </is>
      </c>
      <c r="D21" s="81" t="inlineStr">
        <is>
          <t>Alto riesgo si Insyte reduce volumen</t>
        </is>
      </c>
    </row>
    <row r="22" ht="18" customHeight="1">
      <c r="A22" s="56" t="inlineStr">
        <is>
          <t>Rotación CXC (días)</t>
        </is>
      </c>
      <c r="B22" s="27" t="inlineStr">
        <is>
          <t>~20-25 días est.</t>
        </is>
      </c>
      <c r="C22" s="84" t="inlineStr">
        <is>
          <t>🟡 Normal</t>
        </is>
      </c>
      <c r="D22" s="85" t="inlineStr">
        <is>
          <t>Normal para B2B en DE</t>
        </is>
      </c>
    </row>
    <row r="23" ht="18" customHeight="1">
      <c r="A23" s="56" t="inlineStr">
        <is>
          <t>EBITDA estimado Q1</t>
        </is>
      </c>
      <c r="B23" s="27" t="inlineStr">
        <is>
          <t>€ ~11.000-15.000</t>
        </is>
      </c>
      <c r="C23" s="84" t="inlineStr">
        <is>
          <t>🟡 Ajustado</t>
        </is>
      </c>
      <c r="D23" s="85" t="inlineStr">
        <is>
          <t>Antes de impuestos y depreciación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14" customWidth="1" min="1" max="1"/>
    <col width="40" customWidth="1" min="2" max="2"/>
    <col width="65" customWidth="1" min="3" max="3"/>
    <col width="18" customWidth="1" min="4" max="4"/>
  </cols>
  <sheetData>
    <row r="1" ht="26" customHeight="1">
      <c r="A1" s="9" t="inlineStr">
        <is>
          <t>6. CONSEJOS Y RECOMENDACIONES — UMTELKOMD Q1 2026</t>
        </is>
      </c>
    </row>
    <row r="2">
      <c r="A2" s="10" t="inlineStr">
        <is>
          <t>Recomendaciones prácticas ordenadas por prioridad y urgencia. Cada consejo incluye acción específica, responsable y plazo.</t>
        </is>
      </c>
    </row>
    <row r="3" ht="22" customHeight="1">
      <c r="A3" s="11" t="inlineStr">
        <is>
          <t>#</t>
        </is>
      </c>
      <c r="B3" s="11" t="inlineStr">
        <is>
          <t>CONSEJO</t>
        </is>
      </c>
      <c r="C3" s="11" t="inlineStr">
        <is>
          <t>ACCIÓN ESPECÍFICA</t>
        </is>
      </c>
      <c r="D3" s="11" t="inlineStr">
        <is>
          <t>PLAZO / PRIORIDAD</t>
        </is>
      </c>
    </row>
    <row r="4" ht="55" customHeight="1">
      <c r="A4" s="86" t="inlineStr">
        <is>
          <t>URGENTE</t>
        </is>
      </c>
      <c r="B4" s="47" t="inlineStr">
        <is>
          <t>1. COBRAR FACTURAS INSYTE INMEDIATAMENTE</t>
        </is>
      </c>
      <c r="C4" s="87" t="inlineStr">
        <is>
          <t>Las 20 facturas pendientes por €44.761 son la única inyección de caja disponible. Contactar con Insyte (Daniela/finance) esta semana para confirmar fechas de pago. Prioridad absoluta: las 4 facturas de €5K-6K+.</t>
        </is>
      </c>
      <c r="D4" s="49" t="inlineStr">
        <is>
          <t>ESTA SEMANA</t>
        </is>
      </c>
    </row>
    <row r="5" ht="55" customHeight="1">
      <c r="A5" s="86" t="inlineStr">
        <is>
          <t>URGENTE</t>
        </is>
      </c>
      <c r="B5" s="47" t="inlineStr">
        <is>
          <t>2. REGISTRAR FACTURA MQH Nº 10 EN FINCONTROL</t>
        </is>
      </c>
      <c r="C5" s="87" t="inlineStr">
        <is>
          <t>La factura de €4.950 de MQH está marcada como 'FALTA EN FINCONTROL'. Esto puede significar que no está registrada como CXP, inflando artificialmente la posición de caja. Verificar y registrar inmediatamente.</t>
        </is>
      </c>
      <c r="D5" s="49" t="inlineStr">
        <is>
          <t>24 horas</t>
        </is>
      </c>
    </row>
    <row r="6" ht="55" customHeight="1">
      <c r="A6" s="86" t="inlineStr">
        <is>
          <t>URGENTE</t>
        </is>
      </c>
      <c r="B6" s="47" t="inlineStr">
        <is>
          <t>3. NEGOCIAR LÍNEA DE CRÉDITO BANCARIA</t>
        </is>
      </c>
      <c r="C6" s="87" t="inlineStr">
        <is>
          <t>Con €7.592 de déficit máximo histórico y posición neta de -€52K, la empresa necesita un crédito revolving de al menos €40.000-60.000 para cubrir baches de tesorería. Volksbank ya conoce la cuenta.</t>
        </is>
      </c>
      <c r="D6" s="49" t="inlineStr">
        <is>
          <t>7-14 días</t>
        </is>
      </c>
    </row>
    <row r="7" ht="55" customHeight="1">
      <c r="A7" s="88" t="inlineStr">
        <is>
          <t>CORTO PLAZO</t>
        </is>
      </c>
      <c r="B7" s="84" t="inlineStr">
        <is>
          <t>4. RENEGOCIAR PLAZOS CON SUBCONTRATISTAS</t>
        </is>
      </c>
      <c r="C7" s="89" t="inlineStr">
        <is>
          <t>Alinear pagos a subcontratistas (MQH, Eva, INCERVAL) con los cobros de Insyte. Intentar negociar Pago a 30-45 días en lugar de pago inmediato. Los €62.956 de subcontratistas son el segundo gasto más grande.</t>
        </is>
      </c>
      <c r="D7" s="90" t="inlineStr">
        <is>
          <t>2-3 semanas</t>
        </is>
      </c>
    </row>
    <row r="8" ht="55" customHeight="1">
      <c r="A8" s="88" t="inlineStr">
        <is>
          <t>CORTO PLAZO</t>
        </is>
      </c>
      <c r="B8" s="84" t="inlineStr">
        <is>
          <t>5. CONTROL MENSUAL DE FLUJO DE CAJA</t>
        </is>
      </c>
      <c r="C8" s="89" t="inlineStr">
        <is>
          <t>Implementar revisión semanal de saldo proyectado a 30 días. Con 9 días en negativo en Q1, un control semanal habría permitido actuar antes de los descubiertos. Usar la hoja 'Saldo Día a Día' como radar.</t>
        </is>
      </c>
      <c r="D8" s="90" t="inlineStr">
        <is>
          <t>Semanal — empezar ahora</t>
        </is>
      </c>
    </row>
    <row r="9" ht="55" customHeight="1">
      <c r="A9" s="88" t="inlineStr">
        <is>
          <t>CORTO PLAZO</t>
        </is>
      </c>
      <c r="B9" s="84" t="inlineStr">
        <is>
          <t>6. OPTIMIZAR GASTOS FIJOS</t>
        </is>
      </c>
      <c r="C9" s="89" t="inlineStr">
        <is>
          <t>Alquiler/alojamiento (€10.612 Q1 = €3.500/mes) es un gasto significativo. Revisar contratos: ¿hay personas con alojamiento que ya no están en proyecto? Tarjeta de crédito (€11.455 Q1) — auditar qué se compra y si es necesario.</t>
        </is>
      </c>
      <c r="D9" s="90" t="inlineStr">
        <is>
          <t>2-4 semanas</t>
        </is>
      </c>
    </row>
    <row r="10" ht="55" customHeight="1">
      <c r="A10" s="88" t="inlineStr">
        <is>
          <t>CORTO PLAZO</t>
        </is>
      </c>
      <c r="B10" s="84" t="inlineStr">
        <is>
          <t>7. DIVERSIFICAR FUENTES DE INGRESO</t>
        </is>
      </c>
      <c r="C10" s="89" t="inlineStr">
        <is>
          <t>75% de ingresos concentrados en Insyte es alto riesgo. Con €57K en marzo (la mitad de enero), parece que el volumen con Insyte está decreciendo. Explorar 1-2 clientes adicionales para Q2-Q3 2026.</t>
        </is>
      </c>
      <c r="D10" s="90" t="inlineStr">
        <is>
          <t>Q2 2026</t>
        </is>
      </c>
    </row>
    <row r="11" ht="55" customHeight="1">
      <c r="A11" s="91" t="inlineStr">
        <is>
          <t>MEDIANO PLAZO</t>
        </is>
      </c>
      <c r="B11" s="92" t="inlineStr">
        <is>
          <t>8. IMPLEMENTAR REVERSE FACTORING SOSTENIBLE</t>
        </is>
      </c>
      <c r="C11" s="93" t="inlineStr">
        <is>
          <t>El reverse factoring de Insyte (anticipos sobre facturas) funcionó bien en Q1 (€95K en Ene, €75K en Feb). Pero reliance excesivo es peligroso. Mejor: combinar anticipos Insyte + Factoring propio + línea bancaria.</t>
        </is>
      </c>
      <c r="D11" s="94" t="inlineStr">
        <is>
          <t>Q2 2026</t>
        </is>
      </c>
    </row>
    <row r="12" ht="55" customHeight="1">
      <c r="A12" s="91" t="inlineStr">
        <is>
          <t>MEDIANO PLAZO</t>
        </is>
      </c>
      <c r="B12" s="92" t="inlineStr">
        <is>
          <t>9. FONDO DE RESERVA OPERATIVA</t>
        </is>
      </c>
      <c r="C12" s="93" t="inlineStr">
        <is>
          <t>Con gastos promedio de €103K/mes, la empresa debería mantener un mínimo de €30.000-40.000 en reserva de tesorería (2-3 semanas de gastos). Actualmente no hay reserva. Crear política: no distribuir beneficios hasta tener 3 meses de gastos en reserva.</t>
        </is>
      </c>
      <c r="D12" s="94" t="inlineStr">
        <is>
          <t>3-6 meses</t>
        </is>
      </c>
    </row>
    <row r="13" ht="55" customHeight="1">
      <c r="A13" s="91" t="inlineStr">
        <is>
          <t>MEDIANO PLAZO</t>
        </is>
      </c>
      <c r="B13" s="92" t="inlineStr">
        <is>
          <t>10. PLANIFICAR IMPUESTOS PARA Q2</t>
        </is>
      </c>
      <c r="C13" s="93" t="inlineStr">
        <is>
          <t>Febrero generó €58.046 en pagos fiscales — una carga enorme. Esto sugiere que los pagos a cuenta del ejercicio anterior fueron altos. Coordinar con Janet Martinez ( Steuerberaterin) para optimizar los pagos a cuenta de cara a Q2-Q4 2026 y evitar el mismo golpe de caja en feb-2027.</t>
        </is>
      </c>
      <c r="D13" s="94" t="inlineStr">
        <is>
          <t>Antes de mayo 2026</t>
        </is>
      </c>
    </row>
    <row r="14" ht="55" customHeight="1">
      <c r="A14" s="95" t="inlineStr">
        <is>
          <t>OPORTUNIDAD</t>
        </is>
      </c>
      <c r="B14" s="83" t="inlineStr">
        <is>
          <t>11. AUTOMATIZAR SEGUIMIENTO DE CXP/CXC</t>
        </is>
      </c>
      <c r="C14" s="96" t="inlineStr">
        <is>
          <t>FinControl se usa pero no está actualizado (MQH Nº10 falta). Crear rutina: cada viernes, actualizar CXP y CXC en FinControl. Esto permite ver la posición neta real en tiempo real y anticipar descubiertos.</t>
        </is>
      </c>
      <c r="D14" s="97" t="inlineStr">
        <is>
          <t>Inmediato</t>
        </is>
      </c>
    </row>
    <row r="15" ht="55" customHeight="1">
      <c r="A15" s="95" t="inlineStr">
        <is>
          <t>OPORTUNIDAD</t>
        </is>
      </c>
      <c r="B15" s="83" t="inlineStr">
        <is>
          <t>12. NEGOCIAR MEJORES CONDICIONES CON SEGUROS</t>
        </is>
      </c>
      <c r="C15" s="96" t="inlineStr">
        <is>
          <t>Seguros/SS Q1 = €35.360 (11,4% de gastos). TK, BARMER, AOK, TUI BKK, plus seguro tráfico Renault. Revisar si hay duplicados o coberturas innecesarias. Posible ahorro: €3.000-6.000/año renegociando.</t>
        </is>
      </c>
      <c r="D15" s="97" t="inlineStr">
        <is>
          <t>Q2 2026</t>
        </is>
      </c>
    </row>
  </sheetData>
  <mergeCells count="26">
    <mergeCell ref="C8"/>
    <mergeCell ref="B9"/>
    <mergeCell ref="C7"/>
    <mergeCell ref="B15"/>
    <mergeCell ref="B6"/>
    <mergeCell ref="B5"/>
    <mergeCell ref="C13"/>
    <mergeCell ref="B4"/>
    <mergeCell ref="B7"/>
    <mergeCell ref="C15"/>
    <mergeCell ref="C6"/>
    <mergeCell ref="C14"/>
    <mergeCell ref="C5"/>
    <mergeCell ref="A1:D1"/>
    <mergeCell ref="C4"/>
    <mergeCell ref="B12"/>
    <mergeCell ref="B11"/>
    <mergeCell ref="C10"/>
    <mergeCell ref="B14"/>
    <mergeCell ref="C9"/>
    <mergeCell ref="B8"/>
    <mergeCell ref="B13"/>
    <mergeCell ref="C12"/>
    <mergeCell ref="C11"/>
    <mergeCell ref="B10"/>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38" customWidth="1" min="1" max="1"/>
    <col width="20" customWidth="1" min="2" max="2"/>
    <col width="10" customWidth="1" min="3" max="3"/>
    <col width="20" customWidth="1" min="4" max="4"/>
    <col width="10" customWidth="1" min="5" max="5"/>
    <col width="20" customWidth="1" min="6" max="6"/>
    <col width="10" customWidth="1" min="7" max="7"/>
  </cols>
  <sheetData>
    <row r="1" ht="26" customHeight="1">
      <c r="A1" s="9" t="inlineStr">
        <is>
          <t>7. PROYECCIONES Q2 2026 — UMTELKOMD (3 ESCENARIOS)</t>
        </is>
      </c>
    </row>
    <row r="2">
      <c r="A2" s="10" t="inlineStr">
        <is>
          <t>Proyecciones basadas en datos Q1-2026. 3 escenarios: Optimista, Base, Pesimista. Supuestos detallados en cada columna.</t>
        </is>
      </c>
    </row>
    <row r="3" ht="36" customHeight="1">
      <c r="A3" s="98" t="inlineStr">
        <is>
          <t>SUPuestos COMUNES: Meses completos (abr, may, jun). No se contemplan ingresos extraordinarios. Impuestos aprox. €2.000-3.000/mes (nivel normal, sin liquidaciones grandes). Commitment futuro: €6.545 (seguros, Renault, BG ETEM).</t>
        </is>
      </c>
    </row>
    <row r="4" ht="20" customHeight="1">
      <c r="A4" s="11" t="inlineStr">
        <is>
          <t>CONCEPTO</t>
        </is>
      </c>
      <c r="B4" s="11" t="inlineStr">
        <is>
          <t>OPTIMISTA (Q2)</t>
        </is>
      </c>
      <c r="C4" s="11" t="inlineStr">
        <is>
          <t>% Ing.</t>
        </is>
      </c>
      <c r="D4" s="11" t="inlineStr">
        <is>
          <t>ESCENARIO BASE (Q2)</t>
        </is>
      </c>
      <c r="E4" s="11" t="inlineStr">
        <is>
          <t>% Ing.</t>
        </is>
      </c>
      <c r="F4" s="11" t="inlineStr">
        <is>
          <t>PESIMISTA (Q2)</t>
        </is>
      </c>
      <c r="G4" s="11" t="inlineStr">
        <is>
          <t>% Ing.</t>
        </is>
      </c>
    </row>
    <row r="5" ht="18" customHeight="1">
      <c r="A5" s="11" t="inlineStr">
        <is>
          <t>INGRESOS</t>
        </is>
      </c>
    </row>
    <row r="6" ht="18" customHeight="1">
      <c r="A6" s="43" t="inlineStr">
        <is>
          <t>Ingresos por proyectos (Insyte + otros)</t>
        </is>
      </c>
      <c r="B6" s="99" t="n">
        <v>270000</v>
      </c>
      <c r="C6" s="100" t="n">
        <v>0.994475138121547</v>
      </c>
      <c r="D6" s="99" t="n">
        <v>195000</v>
      </c>
      <c r="E6" s="100" t="n">
        <v>0.9954058192955589</v>
      </c>
      <c r="F6" s="99" t="n">
        <v>135000</v>
      </c>
      <c r="G6" s="100" t="n">
        <v>0.9977827050997783</v>
      </c>
    </row>
    <row r="7" ht="18" customHeight="1">
      <c r="A7" s="43" t="inlineStr">
        <is>
          <t>Ingresos financieros / otros</t>
        </is>
      </c>
      <c r="B7" s="99" t="n">
        <v>1500</v>
      </c>
      <c r="C7" s="100" t="n">
        <v>0.005524861878453038</v>
      </c>
      <c r="D7" s="99" t="n">
        <v>900</v>
      </c>
      <c r="E7" s="100" t="n">
        <v>0.004594180704441042</v>
      </c>
      <c r="F7" s="99" t="n">
        <v>300</v>
      </c>
      <c r="G7" s="100" t="n">
        <v>0.002217294900221729</v>
      </c>
    </row>
    <row r="8" ht="18" customHeight="1">
      <c r="A8" s="82" t="inlineStr">
        <is>
          <t>TOTAL INGRESOS</t>
        </is>
      </c>
      <c r="B8" s="99" t="n">
        <v>271500</v>
      </c>
      <c r="C8" s="100" t="n">
        <v>1</v>
      </c>
      <c r="D8" s="99" t="n">
        <v>195900</v>
      </c>
      <c r="E8" s="100" t="n">
        <v>1</v>
      </c>
      <c r="F8" s="99" t="n">
        <v>135300</v>
      </c>
      <c r="G8" s="100" t="n">
        <v>1</v>
      </c>
    </row>
    <row r="9" ht="8" customHeight="1"/>
    <row r="10" ht="18" customHeight="1">
      <c r="A10" s="101" t="inlineStr">
        <is>
          <t>GASTOS</t>
        </is>
      </c>
    </row>
    <row r="11" ht="18" customHeight="1">
      <c r="A11" s="24" t="inlineStr">
        <is>
          <t>Subcontratistas</t>
        </is>
      </c>
      <c r="B11" s="102" t="n">
        <v>-60000</v>
      </c>
      <c r="C11" s="103" t="n">
        <v>0.2209944751381215</v>
      </c>
      <c r="D11" s="102" t="n">
        <v>-54000</v>
      </c>
      <c r="E11" s="103" t="n">
        <v>0.2756508422664625</v>
      </c>
      <c r="F11" s="102" t="n">
        <v>-45000</v>
      </c>
      <c r="G11" s="103" t="n">
        <v>0.3325942350332594</v>
      </c>
    </row>
    <row r="12" ht="18" customHeight="1">
      <c r="A12" s="24" t="inlineStr">
        <is>
          <t>Nóminas (neto)</t>
        </is>
      </c>
      <c r="B12" s="102" t="n">
        <v>-48000</v>
      </c>
      <c r="C12" s="103" t="n">
        <v>0.1767955801104972</v>
      </c>
      <c r="D12" s="102" t="n">
        <v>-48000</v>
      </c>
      <c r="E12" s="103" t="n">
        <v>0.2450229709035222</v>
      </c>
      <c r="F12" s="102" t="n">
        <v>-48000</v>
      </c>
      <c r="G12" s="103" t="n">
        <v>0.3547671840354767</v>
      </c>
    </row>
    <row r="13" ht="18" customHeight="1">
      <c r="A13" s="24" t="inlineStr">
        <is>
          <t>Seguros / SS (TK, BARMER, AOK, TUI)</t>
        </is>
      </c>
      <c r="B13" s="102" t="n">
        <v>-30000</v>
      </c>
      <c r="C13" s="103" t="n">
        <v>0.1104972375690608</v>
      </c>
      <c r="D13" s="102" t="n">
        <v>-30000</v>
      </c>
      <c r="E13" s="103" t="n">
        <v>0.1531393568147014</v>
      </c>
      <c r="F13" s="102" t="n">
        <v>-30000</v>
      </c>
      <c r="G13" s="103" t="n">
        <v>0.221729490022173</v>
      </c>
    </row>
    <row r="14" ht="18" customHeight="1">
      <c r="A14" s="24" t="inlineStr">
        <is>
          <t>Impuestos (IVA + fiscal normal)</t>
        </is>
      </c>
      <c r="B14" s="102" t="n">
        <v>-7500</v>
      </c>
      <c r="C14" s="103" t="n">
        <v>0.02762430939226519</v>
      </c>
      <c r="D14" s="102" t="n">
        <v>-7500</v>
      </c>
      <c r="E14" s="103" t="n">
        <v>0.03828483920367534</v>
      </c>
      <c r="F14" s="102" t="n">
        <v>-7500</v>
      </c>
      <c r="G14" s="103" t="n">
        <v>0.05543237250554324</v>
      </c>
    </row>
    <row r="15" ht="18" customHeight="1">
      <c r="A15" s="24" t="inlineStr">
        <is>
          <t>Alquiler / Alojamiento</t>
        </is>
      </c>
      <c r="B15" s="102" t="n">
        <v>-10500</v>
      </c>
      <c r="C15" s="103" t="n">
        <v>0.03867403314917127</v>
      </c>
      <c r="D15" s="102" t="n">
        <v>-10500</v>
      </c>
      <c r="E15" s="103" t="n">
        <v>0.05359877488514548</v>
      </c>
      <c r="F15" s="102" t="n">
        <v>-10500</v>
      </c>
      <c r="G15" s="103" t="n">
        <v>0.07760532150776053</v>
      </c>
    </row>
    <row r="16" ht="18" customHeight="1">
      <c r="A16" s="24" t="inlineStr">
        <is>
          <t>Combustible + Flota</t>
        </is>
      </c>
      <c r="B16" s="102" t="n">
        <v>-6000</v>
      </c>
      <c r="C16" s="103" t="n">
        <v>0.02209944751381215</v>
      </c>
      <c r="D16" s="102" t="n">
        <v>-6000</v>
      </c>
      <c r="E16" s="103" t="n">
        <v>0.03062787136294028</v>
      </c>
      <c r="F16" s="102" t="n">
        <v>-6000</v>
      </c>
      <c r="G16" s="103" t="n">
        <v>0.04434589800443459</v>
      </c>
    </row>
    <row r="17" ht="18" customHeight="1">
      <c r="A17" s="24" t="inlineStr">
        <is>
          <t>Asesoría / Contabilidad</t>
        </is>
      </c>
      <c r="B17" s="102" t="n">
        <v>-3000</v>
      </c>
      <c r="C17" s="103" t="n">
        <v>0.01104972375690608</v>
      </c>
      <c r="D17" s="102" t="n">
        <v>-3000</v>
      </c>
      <c r="E17" s="103" t="n">
        <v>0.01531393568147014</v>
      </c>
      <c r="F17" s="102" t="n">
        <v>-3000</v>
      </c>
      <c r="G17" s="103" t="n">
        <v>0.0221729490022173</v>
      </c>
    </row>
    <row r="18" ht="18" customHeight="1">
      <c r="A18" s="24" t="inlineStr">
        <is>
          <t>Tarjeta de crédito</t>
        </is>
      </c>
      <c r="B18" s="102" t="n">
        <v>-1500</v>
      </c>
      <c r="C18" s="103" t="n">
        <v>0.005524861878453038</v>
      </c>
      <c r="D18" s="102" t="n">
        <v>-1500</v>
      </c>
      <c r="E18" s="103" t="n">
        <v>0.007656967840735069</v>
      </c>
      <c r="F18" s="102" t="n">
        <v>-1500</v>
      </c>
      <c r="G18" s="103" t="n">
        <v>0.01108647450110865</v>
      </c>
    </row>
    <row r="19" ht="18" customHeight="1">
      <c r="A19" s="24" t="inlineStr">
        <is>
          <t>Telefonía / Internet</t>
        </is>
      </c>
      <c r="B19" s="102" t="n">
        <v>-750</v>
      </c>
      <c r="C19" s="103" t="n">
        <v>0.002762430939226519</v>
      </c>
      <c r="D19" s="102" t="n">
        <v>-750</v>
      </c>
      <c r="E19" s="103" t="n">
        <v>0.003828483920367535</v>
      </c>
      <c r="F19" s="102" t="n">
        <v>-750</v>
      </c>
      <c r="G19" s="103" t="n">
        <v>0.005543237250554324</v>
      </c>
    </row>
    <row r="20" ht="18" customHeight="1">
      <c r="A20" s="24" t="inlineStr">
        <is>
          <t>Amazon / Materiales</t>
        </is>
      </c>
      <c r="B20" s="102" t="n">
        <v>-900</v>
      </c>
      <c r="C20" s="103" t="n">
        <v>0.003314917127071823</v>
      </c>
      <c r="D20" s="102" t="n">
        <v>-900</v>
      </c>
      <c r="E20" s="103" t="n">
        <v>0.004594180704441042</v>
      </c>
      <c r="F20" s="102" t="n">
        <v>-900</v>
      </c>
      <c r="G20" s="103" t="n">
        <v>0.006651884700665188</v>
      </c>
    </row>
    <row r="21" ht="18" customHeight="1">
      <c r="A21" s="24" t="inlineStr">
        <is>
          <t>Otros</t>
        </is>
      </c>
      <c r="B21" s="102" t="n">
        <v>-1500</v>
      </c>
      <c r="C21" s="103" t="n">
        <v>0.005524861878453038</v>
      </c>
      <c r="D21" s="102" t="n">
        <v>-1500</v>
      </c>
      <c r="E21" s="103" t="n">
        <v>0.007656967840735069</v>
      </c>
      <c r="F21" s="102" t="n">
        <v>-1500</v>
      </c>
      <c r="G21" s="103" t="n">
        <v>0.01108647450110865</v>
      </c>
    </row>
    <row r="22" ht="18" customHeight="1">
      <c r="A22" s="54" t="inlineStr">
        <is>
          <t>TOTAL GASTOS</t>
        </is>
      </c>
      <c r="B22" s="102" t="n">
        <v>-169650</v>
      </c>
      <c r="C22" s="103" t="n">
        <v>0.6248618784530386</v>
      </c>
      <c r="D22" s="102" t="n">
        <v>-163650</v>
      </c>
      <c r="E22" s="103" t="n">
        <v>0.835375191424196</v>
      </c>
      <c r="F22" s="102" t="n">
        <v>-157650</v>
      </c>
      <c r="G22" s="103" t="n">
        <v>1.165188470066519</v>
      </c>
    </row>
    <row r="23" ht="8" customHeight="1"/>
    <row r="24" ht="18" customHeight="1">
      <c r="A24" s="104" t="inlineStr">
        <is>
          <t>RESULTADO NETO Q2</t>
        </is>
      </c>
    </row>
    <row r="25" ht="8" customHeight="1"/>
    <row r="26" ht="18" customHeight="1">
      <c r="A26" s="105" t="inlineStr">
        <is>
          <t>POSICIÓN DE CAJA AL 30.06.2026</t>
        </is>
      </c>
    </row>
    <row r="27" ht="18" customHeight="1">
      <c r="A27" s="24" t="inlineStr">
        <is>
          <t>Saldo inicial Q2 (31.03)</t>
        </is>
      </c>
      <c r="B27" s="102" t="n">
        <v>-37251</v>
      </c>
      <c r="C27" s="103" t="n">
        <v>0.1372044198895028</v>
      </c>
      <c r="D27" s="102" t="n">
        <v>-37251</v>
      </c>
      <c r="E27" s="103" t="n">
        <v>0.1901531393568147</v>
      </c>
      <c r="F27" s="102" t="n">
        <v>-37251</v>
      </c>
      <c r="G27" s="103" t="n">
        <v>0.2753215077605322</v>
      </c>
    </row>
    <row r="28" ht="18" customHeight="1">
      <c r="A28" s="43" t="inlineStr">
        <is>
          <t>(+) CXC cobradas Q2 (estimado)</t>
        </is>
      </c>
      <c r="B28" s="99" t="n">
        <v>44000</v>
      </c>
      <c r="C28" s="100" t="n">
        <v>0.1620626151012891</v>
      </c>
      <c r="D28" s="99" t="n">
        <v>30000</v>
      </c>
      <c r="E28" s="100" t="n">
        <v>0.1531393568147014</v>
      </c>
      <c r="F28" s="99" t="n">
        <v>15000</v>
      </c>
      <c r="G28" s="100" t="n">
        <v>0.1108647450110865</v>
      </c>
    </row>
    <row r="29" ht="18" customHeight="1">
      <c r="A29" s="24" t="inlineStr">
        <is>
          <t>(-) Compromisos futuros (Abr–May)</t>
        </is>
      </c>
      <c r="B29" s="102" t="n">
        <v>-6545</v>
      </c>
      <c r="C29" s="103" t="n">
        <v>0.02410681399631676</v>
      </c>
      <c r="D29" s="102" t="n">
        <v>-6545</v>
      </c>
      <c r="E29" s="103" t="n">
        <v>0.03340990301174068</v>
      </c>
      <c r="F29" s="102" t="n">
        <v>-6545</v>
      </c>
      <c r="G29" s="103" t="n">
        <v>0.0483739837398374</v>
      </c>
    </row>
    <row r="30" ht="18" customHeight="1">
      <c r="A30" s="82" t="inlineStr">
        <is>
          <t>(=) SALDO FINAL Q2 ESTIMADO</t>
        </is>
      </c>
      <c r="B30" s="99" t="n">
        <v>58104</v>
      </c>
      <c r="C30" s="100" t="n">
        <v>0.2140110497237569</v>
      </c>
      <c r="D30" s="99" t="n">
        <v>25704</v>
      </c>
      <c r="E30" s="100" t="n">
        <v>0.1312098009188361</v>
      </c>
      <c r="F30" s="99" t="n">
        <v>-14096</v>
      </c>
      <c r="G30" s="100" t="n">
        <v>0.1041832963784183</v>
      </c>
    </row>
    <row r="32" ht="60" customHeight="1">
      <c r="A32" s="106" t="inlineStr">
        <is>
          <t>📌 SUPuestos: Escenario Base = ingresos al ritmo actual (€65K/mes) sin proyectos nuevos. Optimista = nuevos proyectos o mayor volumen Insyte. Pesimista = caida continua de ingresos como en Q1 (€57K en Mar vs €143K en Ene). Impuestos = nivel normal (~€2.500/mes) sin liquidaciones grandes. NO incluye posibles proyectos nuevos que puedan arrancar en Q2.</t>
        </is>
      </c>
    </row>
  </sheetData>
  <mergeCells count="8">
    <mergeCell ref="A32:G32"/>
    <mergeCell ref="A2:F2"/>
    <mergeCell ref="A1:F1"/>
    <mergeCell ref="A26:G26"/>
    <mergeCell ref="A24:G24"/>
    <mergeCell ref="A3:F3"/>
    <mergeCell ref="A10:G10"/>
    <mergeCell ref="A5:G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22" customWidth="1" min="1" max="1"/>
    <col width="22" customWidth="1" min="2" max="2"/>
    <col width="22" customWidth="1" min="3" max="3"/>
    <col width="10" customWidth="1" min="4" max="4"/>
    <col width="10" customWidth="1" min="5" max="5"/>
    <col width="10" customWidth="1" min="6" max="6"/>
  </cols>
  <sheetData>
    <row r="1" ht="30" customHeight="1">
      <c r="A1" s="9" t="inlineStr">
        <is>
          <t>8. RESUMEN EJECUTIVO — UMTELKOMD Q1 2026</t>
        </is>
      </c>
    </row>
    <row r="3" ht="20" customHeight="1">
      <c r="A3" s="11" t="inlineStr">
        <is>
          <t>INDICADOR</t>
        </is>
      </c>
      <c r="B3" s="11" t="inlineStr">
        <is>
          <t>VALOR PRINCIPAL</t>
        </is>
      </c>
      <c r="C3" s="11" t="inlineStr">
        <is>
          <t>CONTEXTO</t>
        </is>
      </c>
      <c r="D3" s="11" t="inlineStr"/>
      <c r="E3" s="11" t="inlineStr"/>
      <c r="F3" s="11" t="inlineStr"/>
    </row>
    <row r="4" ht="24" customHeight="1">
      <c r="A4" s="47" t="inlineStr">
        <is>
          <t>RESULTADO NETO Q1</t>
        </is>
      </c>
      <c r="B4" s="107" t="inlineStr">
        <is>
          <t>€ 872,84</t>
        </is>
      </c>
      <c r="C4" s="81" t="inlineStr">
        <is>
          <t>0,28% margen</t>
        </is>
      </c>
      <c r="D4" s="108" t="n"/>
      <c r="E4" s="108" t="n"/>
      <c r="F4" s="108" t="n"/>
    </row>
    <row r="5" ht="24" customHeight="1">
      <c r="A5" s="47" t="inlineStr">
        <is>
          <t>POSICIÓN NETA REAL</t>
        </is>
      </c>
      <c r="B5" s="107" t="inlineStr">
        <is>
          <t>-€ 52.110</t>
        </is>
      </c>
      <c r="C5" s="81" t="inlineStr">
        <is>
          <t>Descubierto + CXP - CXC</t>
        </is>
      </c>
      <c r="D5" s="108" t="n"/>
      <c r="E5" s="108" t="n"/>
      <c r="F5" s="108" t="n"/>
    </row>
    <row r="6" ht="24" customHeight="1">
      <c r="A6" s="83" t="inlineStr">
        <is>
          <t>INGRESOS Q1</t>
        </is>
      </c>
      <c r="B6" s="109" t="inlineStr">
        <is>
          <t>€ 310.448</t>
        </is>
      </c>
      <c r="C6" s="68" t="inlineStr">
        <is>
          <t>+€103K/mes promedio</t>
        </is>
      </c>
      <c r="D6" s="66" t="n"/>
      <c r="E6" s="66" t="n"/>
      <c r="F6" s="66" t="n"/>
    </row>
    <row r="7" ht="24" customHeight="1">
      <c r="A7" s="84" t="inlineStr">
        <is>
          <t>GASTOS Q1</t>
        </is>
      </c>
      <c r="B7" s="110" t="inlineStr">
        <is>
          <t>€ 309.576</t>
        </is>
      </c>
      <c r="C7" s="85" t="inlineStr">
        <is>
          <t>-€103K/mes promedio</t>
        </is>
      </c>
      <c r="D7" s="57" t="n"/>
      <c r="E7" s="57" t="n"/>
      <c r="F7" s="57" t="n"/>
    </row>
    <row r="8" ht="24" customHeight="1">
      <c r="A8" s="47" t="inlineStr">
        <is>
          <t>DÍAS EN DESCUBIERTO</t>
        </is>
      </c>
      <c r="B8" s="107" t="inlineStr">
        <is>
          <t>9 días (14%)</t>
        </is>
      </c>
      <c r="C8" s="81" t="inlineStr">
        <is>
          <t>De 63 días operativos</t>
        </is>
      </c>
      <c r="D8" s="108" t="n"/>
      <c r="E8" s="108" t="n"/>
      <c r="F8" s="108" t="n"/>
    </row>
    <row r="9" ht="24" customHeight="1">
      <c r="A9" s="47" t="inlineStr">
        <is>
          <t>PEOR DÍA (26.03)</t>
        </is>
      </c>
      <c r="B9" s="107" t="inlineStr">
        <is>
          <t>-€ 7.592</t>
        </is>
      </c>
      <c r="C9" s="81" t="inlineStr">
        <is>
          <t>Necesita €7.592 de crédito</t>
        </is>
      </c>
      <c r="D9" s="108" t="n"/>
      <c r="E9" s="108" t="n"/>
      <c r="F9" s="108" t="n"/>
    </row>
    <row r="11" ht="20" customHeight="1">
      <c r="A11" s="111" t="inlineStr">
        <is>
          <t>🔍  DIAGNÓSTICO DE LA EMPRESA</t>
        </is>
      </c>
    </row>
    <row r="12" ht="18" customHeight="1">
      <c r="A12" s="112" t="inlineStr">
        <is>
          <t xml:space="preserve">  FORTALEZAS</t>
        </is>
      </c>
    </row>
    <row r="13" ht="18" customHeight="1">
      <c r="A13" s="43" t="inlineStr">
        <is>
          <t xml:space="preserve">  ▸  Ingresos operativos sólidos: €310K en 3 meses (€103K/mes promedio)</t>
        </is>
      </c>
    </row>
    <row r="14" ht="18" customHeight="1">
      <c r="A14" s="43" t="inlineStr">
        <is>
          <t xml:space="preserve">  ▸  Resultado neto positivo en Q1 (aunque marginal: €872,84)</t>
        </is>
      </c>
    </row>
    <row r="15" ht="18" customHeight="1">
      <c r="A15" s="43" t="inlineStr">
        <is>
          <t xml:space="preserve">  ▸  Base de clientes establecida con Insyte (relación comercial activa)</t>
        </is>
      </c>
    </row>
    <row r="16" ht="18" customHeight="1">
      <c r="A16" s="43" t="inlineStr">
        <is>
          <t xml:space="preserve">  ▸  Capacidad técnica comprobada en fibra óptica</t>
        </is>
      </c>
    </row>
    <row r="17" ht="18" customHeight="1">
      <c r="A17" s="43" t="inlineStr">
        <is>
          <t xml:space="preserve">  ▸  Neto de enero fue excelente (+€54.520) — la empresa puede generar caja</t>
        </is>
      </c>
    </row>
    <row r="19" ht="18" customHeight="1">
      <c r="A19" s="113" t="inlineStr">
        <is>
          <t xml:space="preserve">  DEBILIDADES</t>
        </is>
      </c>
    </row>
    <row r="20" ht="18" customHeight="1">
      <c r="A20" s="24" t="inlineStr">
        <is>
          <t xml:space="preserve">  ▸  Saldo bancario negativo desde dic-2025 (-€37.251 al 31.03)</t>
        </is>
      </c>
    </row>
    <row r="21" ht="18" customHeight="1">
      <c r="A21" s="24" t="inlineStr">
        <is>
          <t xml:space="preserve">  ▸  Posición neta real de -€52.110 — la empresa técnicamente es insolvente a corto plazo</t>
        </is>
      </c>
    </row>
    <row r="22" ht="18" customHeight="1">
      <c r="A22" s="24" t="inlineStr">
        <is>
          <t xml:space="preserve">  ▸  9 días en descubierto bancario en Q1 (14% del tiempo)</t>
        </is>
      </c>
    </row>
    <row r="23" ht="18" customHeight="1">
      <c r="A23" s="24" t="inlineStr">
        <is>
          <t xml:space="preserve">  ▸  Dependencia excesiva de Insyte (~75% de ingresos)</t>
        </is>
      </c>
    </row>
    <row r="24" ht="18" customHeight="1">
      <c r="A24" s="24" t="inlineStr">
        <is>
          <t xml:space="preserve">  ▸  Gasto fiscal impredecible (€58K en febrero vs €2-3K normales)</t>
        </is>
      </c>
    </row>
    <row r="26" ht="18" customHeight="1">
      <c r="A26" s="114" t="inlineStr">
        <is>
          <t xml:space="preserve">  AMENAZAS</t>
        </is>
      </c>
    </row>
    <row r="27" ht="18" customHeight="1">
      <c r="A27" s="27" t="inlineStr">
        <is>
          <t xml:space="preserve">  ▸  Si Insyte reduce volumen, los ingresos caen 75% instantáneamente</t>
        </is>
      </c>
    </row>
    <row r="28" ht="18" customHeight="1">
      <c r="A28" s="27" t="inlineStr">
        <is>
          <t xml:space="preserve">  ▸  Continuar en descubierto puede cerrar la línea bancaria o generar comisiones</t>
        </is>
      </c>
    </row>
    <row r="29" ht="18" customHeight="1">
      <c r="A29" s="27" t="inlineStr">
        <is>
          <t xml:space="preserve">  ▸  La posición neta negativa (-€52K) limita capacidad de contratar nuevos proyectos</t>
        </is>
      </c>
    </row>
    <row r="30" ht="18" customHeight="1">
      <c r="A30" s="27" t="inlineStr">
        <is>
          <t xml:space="preserve">  ▸  Acumulación de CXP puede dañar relación con proveedores y subcontratistas</t>
        </is>
      </c>
    </row>
    <row r="32" ht="18" customHeight="1">
      <c r="A32" s="112" t="inlineStr">
        <is>
          <t xml:space="preserve">  OPORTUNIDADES</t>
        </is>
      </c>
    </row>
    <row r="33" ht="18" customHeight="1">
      <c r="A33" s="43" t="inlineStr">
        <is>
          <t xml:space="preserve">  ▸  Cobrar las facturas pendientes de Insyte (€44.761) mejoraría la posición a -€10.290</t>
        </is>
      </c>
    </row>
    <row r="34" ht="18" customHeight="1">
      <c r="A34" s="43" t="inlineStr">
        <is>
          <t xml:space="preserve">  ▸  Línea de crédito de €40-60K resolvería los baches de tesorería permanentemente</t>
        </is>
      </c>
    </row>
    <row r="35" ht="18" customHeight="1">
      <c r="A35" s="43" t="inlineStr">
        <is>
          <t xml:space="preserve">  ▸  Nuevo cliente además de Insyte podría diversificar ingresos y reducir riesgo</t>
        </is>
      </c>
    </row>
    <row r="36" ht="18" customHeight="1">
      <c r="A36" s="43" t="inlineStr">
        <is>
          <t xml:space="preserve">  ▸  Q2 podría ser rentable (+€34K base, +€102K optimista) si se cobra bien</t>
        </is>
      </c>
    </row>
    <row r="39" ht="70" customHeight="1">
      <c r="A39" s="115" t="inlineStr">
        <is>
          <t>📌 CONCLUSIÓN: UMTELKOMD GmbH tiene un NEGOCIO VIABLE con ingresos sólidos, pero está en una CRISIS DE TESORERÍA AGUDA. La solución no es cortar el negocio sino arreglar el FLUJO DE CAJA. Con €40-60K de línea de crédito + cobro de facturas Insyte + control semanal, la empresa puede voltar a terreno seguro en 2-3 meses.</t>
        </is>
      </c>
    </row>
  </sheetData>
  <mergeCells count="31">
    <mergeCell ref="A16:F16"/>
    <mergeCell ref="C8:F8"/>
    <mergeCell ref="A27:F27"/>
    <mergeCell ref="C7:F7"/>
    <mergeCell ref="A12:F12"/>
    <mergeCell ref="A26:F26"/>
    <mergeCell ref="A21:F21"/>
    <mergeCell ref="A33:F33"/>
    <mergeCell ref="A14:F14"/>
    <mergeCell ref="A23:F23"/>
    <mergeCell ref="A32:F32"/>
    <mergeCell ref="C6:F6"/>
    <mergeCell ref="A22:F22"/>
    <mergeCell ref="A17:F17"/>
    <mergeCell ref="A35:F35"/>
    <mergeCell ref="A20:F20"/>
    <mergeCell ref="C5:F5"/>
    <mergeCell ref="A29:F29"/>
    <mergeCell ref="A28:F28"/>
    <mergeCell ref="A13:F13"/>
    <mergeCell ref="A19:F19"/>
    <mergeCell ref="C4:F4"/>
    <mergeCell ref="A34:F34"/>
    <mergeCell ref="A30:F30"/>
    <mergeCell ref="A39:F39"/>
    <mergeCell ref="A15:F15"/>
    <mergeCell ref="A24:F24"/>
    <mergeCell ref="C9:F9"/>
    <mergeCell ref="A11:F11"/>
    <mergeCell ref="A36:F36"/>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2026-04-01T08:11:09Z</dcterms:created>
  <dcterms:modified xsi:type="dcterms:W3CDTF">2026-04-01T08:11:09Z</dcterms:modified>
</cp:coreProperties>
</file>